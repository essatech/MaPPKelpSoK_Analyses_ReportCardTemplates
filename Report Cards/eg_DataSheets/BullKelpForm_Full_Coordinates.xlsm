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9.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0.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1.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2.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3.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4.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5.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6.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7.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8.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9.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20.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21.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22.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23.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24.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25.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26.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7.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mc:AlternateContent xmlns:mc="http://schemas.openxmlformats.org/markup-compatibility/2006">
    <mc:Choice Requires="x15">
      <x15ac:absPath xmlns:x15ac="http://schemas.microsoft.com/office/spreadsheetml/2010/11/ac" url="C:\Users\mdeith\ESSA Dropbox\d_global\Projects\EN2900to2999\EN2955 - MaPP Kelp State of Knowledge\Analysis\GitHub_MaPPSoK_AnalysisExamples\Report Cards\eg_DataSheets\"/>
    </mc:Choice>
  </mc:AlternateContent>
  <xr:revisionPtr revIDLastSave="0" documentId="8_{84F7612D-18B3-410B-8495-90B8C575E872}" xr6:coauthVersionLast="47" xr6:coauthVersionMax="47" xr10:uidLastSave="{00000000-0000-0000-0000-000000000000}"/>
  <bookViews>
    <workbookView xWindow="-108" yWindow="-17388" windowWidth="30936" windowHeight="16776" tabRatio="860" firstSheet="24" activeTab="25" xr2:uid="{084965F6-841F-4348-B52B-8F42449140FC}"/>
  </bookViews>
  <sheets>
    <sheet name="INSTRUCTIONS" sheetId="15" r:id="rId1"/>
    <sheet name="NOTES" sheetId="19" r:id="rId2"/>
    <sheet name="2019 Bull Kelp Datasheet Site1" sheetId="1" r:id="rId3"/>
    <sheet name="2019 Bull Kelp Datasheet Site2" sheetId="3" r:id="rId4"/>
    <sheet name="2019 Bull Kelp Datasheet Site3" sheetId="5" r:id="rId5"/>
    <sheet name="2019 Bull Kelp Datasheet Site4" sheetId="21" r:id="rId6"/>
    <sheet name="2019 Bull Kelp Datasheet Site5" sheetId="23" r:id="rId7"/>
    <sheet name="2019 Bull Kelp Datasheet Site6" sheetId="22" r:id="rId8"/>
    <sheet name="2019 Bull Kelp Datasheet Site7" sheetId="20" r:id="rId9"/>
    <sheet name="2019 Bull Kelp Datasheet Site8" sheetId="24" r:id="rId10"/>
    <sheet name="2019 Bull Kelp Datasheet Site9" sheetId="25" r:id="rId11"/>
    <sheet name="2023 Bull Kelp Datasheet Site10" sheetId="39" r:id="rId12"/>
    <sheet name="2024 Bull Kelp Datasheet Site10" sheetId="26" r:id="rId13"/>
    <sheet name="2019 Bull Kelp Annual Report" sheetId="8" r:id="rId14"/>
    <sheet name="2020 Bull Kelp Datasheet Site1" sheetId="18" r:id="rId15"/>
    <sheet name="2020 Bull Kelp Datasheet Site4" sheetId="37" r:id="rId16"/>
    <sheet name="2021 Bull Kelp Datasheet Site1" sheetId="17" r:id="rId17"/>
    <sheet name="2022 Bull Kelp Datasheet Site1" sheetId="16" r:id="rId18"/>
    <sheet name="2023 Bull Kelp Datasheet Site3" sheetId="38" r:id="rId19"/>
    <sheet name="2023 Bull Kelp Datasheet Site1" sheetId="27" r:id="rId20"/>
    <sheet name="2024 Bull Kelp Datasheet Site1" sheetId="29" r:id="rId21"/>
    <sheet name="2020 Bull Kelp Datasheet Site2" sheetId="30" r:id="rId22"/>
    <sheet name="2021 Bull Kelp Datasheet Site2" sheetId="31" r:id="rId23"/>
    <sheet name="2022 Bull Kelp Datasheet Site2" sheetId="32" r:id="rId24"/>
    <sheet name="2023 Bull Kelp Datasheet Site2" sheetId="33" r:id="rId25"/>
    <sheet name="2024 Bull Kelp Datasheet Site2" sheetId="34" r:id="rId26"/>
    <sheet name="Site 1 Bull Kelp Summary" sheetId="35" r:id="rId27"/>
    <sheet name="Site 2 Bull Kelp Summary" sheetId="36" r:id="rId28"/>
  </sheets>
  <functionGroups builtInGroupCount="19"/>
  <definedNames>
    <definedName name="_xleta.AVERAGE" hidden="1" xlm="1">#NAME?</definedName>
    <definedName name="_xlnm.Print_Area" localSheetId="13">'2019 Bull Kelp Annual Report'!$A$1:$V$53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5" i="39" l="1"/>
  <c r="C35" i="39"/>
  <c r="D34" i="39"/>
  <c r="C34" i="39"/>
  <c r="D33" i="39"/>
  <c r="C33" i="39"/>
  <c r="D32" i="39"/>
  <c r="C32" i="39"/>
  <c r="D31" i="39"/>
  <c r="C31" i="39"/>
  <c r="D30" i="39"/>
  <c r="C30" i="39"/>
  <c r="I29" i="39"/>
  <c r="H29" i="39"/>
  <c r="D29" i="39"/>
  <c r="C29" i="39"/>
  <c r="I28" i="39"/>
  <c r="H28" i="39"/>
  <c r="D28" i="39"/>
  <c r="I27" i="39"/>
  <c r="H27" i="39"/>
  <c r="D27" i="39"/>
  <c r="I26" i="39"/>
  <c r="H26" i="39"/>
  <c r="D26" i="39"/>
  <c r="I25" i="39"/>
  <c r="H25" i="39"/>
  <c r="D25" i="39"/>
  <c r="I24" i="39"/>
  <c r="H24" i="39"/>
  <c r="D24" i="39"/>
  <c r="I23" i="39"/>
  <c r="H23" i="39"/>
  <c r="D23" i="39"/>
  <c r="I22" i="39"/>
  <c r="H22" i="39"/>
  <c r="D22" i="39"/>
  <c r="I21" i="39"/>
  <c r="H21" i="39"/>
  <c r="D21" i="39"/>
  <c r="I20" i="39"/>
  <c r="H20" i="39"/>
  <c r="D20" i="39"/>
  <c r="I19" i="39"/>
  <c r="H19" i="39"/>
  <c r="D19" i="39"/>
  <c r="I18" i="39"/>
  <c r="H18" i="39"/>
  <c r="D18" i="39"/>
  <c r="I17" i="39"/>
  <c r="H17" i="39"/>
  <c r="D17" i="39"/>
  <c r="I16" i="39"/>
  <c r="H16" i="39"/>
  <c r="D16" i="39"/>
  <c r="I35" i="38"/>
  <c r="H35" i="38"/>
  <c r="D35" i="38"/>
  <c r="C35" i="38"/>
  <c r="I34" i="38"/>
  <c r="H34" i="38"/>
  <c r="D34" i="38"/>
  <c r="C34" i="38"/>
  <c r="I33" i="38"/>
  <c r="H33" i="38"/>
  <c r="D33" i="38"/>
  <c r="C33" i="38"/>
  <c r="I32" i="38"/>
  <c r="H32" i="38"/>
  <c r="D32" i="38"/>
  <c r="C32" i="38"/>
  <c r="I31" i="38"/>
  <c r="H31" i="38"/>
  <c r="D31" i="38"/>
  <c r="C31" i="38"/>
  <c r="I30" i="38"/>
  <c r="H30" i="38"/>
  <c r="D30" i="38"/>
  <c r="C30" i="38"/>
  <c r="I29" i="38"/>
  <c r="H29" i="38"/>
  <c r="D29" i="38"/>
  <c r="C29" i="38"/>
  <c r="I28" i="38"/>
  <c r="H28" i="38"/>
  <c r="D28" i="38"/>
  <c r="I27" i="38"/>
  <c r="H27" i="38"/>
  <c r="D27" i="38"/>
  <c r="I26" i="38"/>
  <c r="H26" i="38"/>
  <c r="D26" i="38"/>
  <c r="I25" i="38"/>
  <c r="H25" i="38"/>
  <c r="D25" i="38"/>
  <c r="I24" i="38"/>
  <c r="H24" i="38"/>
  <c r="D24" i="38"/>
  <c r="I23" i="38"/>
  <c r="H23" i="38"/>
  <c r="D23" i="38"/>
  <c r="I22" i="38"/>
  <c r="H22" i="38"/>
  <c r="D22" i="38"/>
  <c r="I21" i="38"/>
  <c r="H21" i="38"/>
  <c r="D21" i="38"/>
  <c r="I20" i="38"/>
  <c r="H20" i="38"/>
  <c r="D20" i="38"/>
  <c r="I19" i="38"/>
  <c r="H19" i="38"/>
  <c r="D19" i="38"/>
  <c r="I18" i="38"/>
  <c r="H18" i="38"/>
  <c r="D18" i="38"/>
  <c r="I17" i="38"/>
  <c r="H17" i="38"/>
  <c r="D17" i="38"/>
  <c r="I16" i="38"/>
  <c r="H16" i="38"/>
  <c r="D16" i="38"/>
  <c r="I35" i="37"/>
  <c r="H35" i="37"/>
  <c r="D35" i="37"/>
  <c r="C35" i="37"/>
  <c r="I34" i="37"/>
  <c r="H34" i="37"/>
  <c r="D34" i="37"/>
  <c r="C34" i="37"/>
  <c r="I33" i="37"/>
  <c r="H33" i="37"/>
  <c r="D33" i="37"/>
  <c r="C33" i="37"/>
  <c r="I32" i="37"/>
  <c r="H32" i="37"/>
  <c r="D32" i="37"/>
  <c r="C32" i="37"/>
  <c r="I31" i="37"/>
  <c r="H31" i="37"/>
  <c r="D31" i="37"/>
  <c r="C31" i="37"/>
  <c r="I30" i="37"/>
  <c r="H30" i="37"/>
  <c r="D30" i="37"/>
  <c r="C30" i="37"/>
  <c r="I29" i="37"/>
  <c r="H29" i="37"/>
  <c r="D29" i="37"/>
  <c r="C29" i="37"/>
  <c r="I28" i="37"/>
  <c r="H28" i="37"/>
  <c r="D28" i="37"/>
  <c r="I27" i="37"/>
  <c r="H27" i="37"/>
  <c r="D27" i="37"/>
  <c r="I26" i="37"/>
  <c r="H26" i="37"/>
  <c r="D26" i="37"/>
  <c r="I25" i="37"/>
  <c r="H25" i="37"/>
  <c r="D25" i="37"/>
  <c r="I24" i="37"/>
  <c r="H24" i="37"/>
  <c r="D24" i="37"/>
  <c r="I23" i="37"/>
  <c r="H23" i="37"/>
  <c r="D23" i="37"/>
  <c r="I22" i="37"/>
  <c r="H22" i="37"/>
  <c r="D22" i="37"/>
  <c r="I21" i="37"/>
  <c r="H21" i="37"/>
  <c r="D21" i="37"/>
  <c r="I20" i="37"/>
  <c r="H20" i="37"/>
  <c r="D20" i="37"/>
  <c r="I19" i="37"/>
  <c r="H19" i="37"/>
  <c r="D19" i="37"/>
  <c r="I18" i="37"/>
  <c r="H18" i="37"/>
  <c r="D18" i="37"/>
  <c r="I17" i="37"/>
  <c r="H17" i="37"/>
  <c r="D17" i="37"/>
  <c r="I16" i="37"/>
  <c r="H16" i="37"/>
  <c r="D16" i="37"/>
  <c r="I18" i="1"/>
  <c r="I19" i="1"/>
  <c r="I20" i="1"/>
  <c r="I21" i="1"/>
  <c r="I22" i="1"/>
  <c r="I23" i="1"/>
  <c r="I24" i="1"/>
  <c r="I25" i="1"/>
  <c r="I26" i="1"/>
  <c r="I27" i="1"/>
  <c r="I28" i="1"/>
  <c r="I29" i="1"/>
  <c r="I30" i="1"/>
  <c r="I31" i="1"/>
  <c r="I32" i="1"/>
  <c r="I33" i="1"/>
  <c r="I34" i="1"/>
  <c r="I35" i="1"/>
  <c r="I17" i="1"/>
  <c r="I20" i="5"/>
  <c r="D29" i="29"/>
  <c r="D30" i="29"/>
  <c r="D31" i="29"/>
  <c r="D32" i="29"/>
  <c r="H17" i="27"/>
  <c r="H18" i="27"/>
  <c r="H19" i="27"/>
  <c r="H20" i="27"/>
  <c r="H21" i="27"/>
  <c r="H22" i="27"/>
  <c r="H16" i="27"/>
  <c r="C30" i="27"/>
  <c r="C31" i="27"/>
  <c r="C32" i="27"/>
  <c r="C33" i="27"/>
  <c r="C34" i="27"/>
  <c r="C35" i="27"/>
  <c r="C29" i="27"/>
  <c r="I17" i="27"/>
  <c r="I18" i="27"/>
  <c r="I19" i="27"/>
  <c r="I20" i="27"/>
  <c r="I21" i="27"/>
  <c r="I22" i="27"/>
  <c r="I16" i="27"/>
  <c r="D29" i="27"/>
  <c r="D30" i="27"/>
  <c r="D31" i="27"/>
  <c r="D32" i="27"/>
  <c r="D33" i="27"/>
  <c r="D34" i="27"/>
  <c r="D35" i="27"/>
  <c r="D29" i="33"/>
  <c r="D30" i="33"/>
  <c r="D31" i="33"/>
  <c r="D32" i="33"/>
  <c r="D33" i="33"/>
  <c r="D34" i="33"/>
  <c r="D35" i="33"/>
  <c r="C30" i="33"/>
  <c r="C31" i="33"/>
  <c r="C32" i="33"/>
  <c r="C33" i="33"/>
  <c r="C34" i="33"/>
  <c r="C35" i="33"/>
  <c r="C29" i="33"/>
  <c r="I17" i="26"/>
  <c r="I18" i="26"/>
  <c r="I19" i="26"/>
  <c r="I20" i="26"/>
  <c r="I21" i="26"/>
  <c r="I22" i="26"/>
  <c r="I16" i="26"/>
  <c r="D29" i="26"/>
  <c r="D30" i="26"/>
  <c r="D31" i="26"/>
  <c r="D32" i="26"/>
  <c r="D33" i="26"/>
  <c r="D34" i="26"/>
  <c r="D35" i="26"/>
  <c r="H17" i="26"/>
  <c r="H18" i="26"/>
  <c r="H19" i="26"/>
  <c r="H20" i="26"/>
  <c r="H21" i="26"/>
  <c r="H22" i="26"/>
  <c r="H16" i="26"/>
  <c r="C30" i="26"/>
  <c r="C31" i="26"/>
  <c r="C32" i="26"/>
  <c r="C33" i="26"/>
  <c r="C34" i="26"/>
  <c r="C35" i="26"/>
  <c r="C29" i="26"/>
  <c r="C30" i="25"/>
  <c r="C31" i="25"/>
  <c r="C32" i="25"/>
  <c r="C33" i="25"/>
  <c r="C34" i="25"/>
  <c r="C35" i="25"/>
  <c r="C29" i="25"/>
  <c r="D29" i="25"/>
  <c r="D30" i="25"/>
  <c r="D31" i="25"/>
  <c r="D32" i="25"/>
  <c r="D33" i="25"/>
  <c r="D34" i="25"/>
  <c r="D35" i="25"/>
  <c r="H17" i="5"/>
  <c r="H18" i="5"/>
  <c r="H19" i="5"/>
  <c r="H20" i="5"/>
  <c r="H21" i="5"/>
  <c r="H22" i="5"/>
  <c r="H23" i="5"/>
  <c r="H24" i="5"/>
  <c r="H25" i="5"/>
  <c r="H26" i="5"/>
  <c r="H27" i="5"/>
  <c r="H28" i="5"/>
  <c r="H29" i="5"/>
  <c r="H30" i="5"/>
  <c r="H31" i="5"/>
  <c r="H32" i="5"/>
  <c r="H33" i="5"/>
  <c r="H34" i="5"/>
  <c r="H35" i="5"/>
  <c r="H16" i="5"/>
  <c r="C30" i="5"/>
  <c r="C31" i="5"/>
  <c r="C32" i="5"/>
  <c r="C33" i="5"/>
  <c r="C34" i="5"/>
  <c r="C35" i="5"/>
  <c r="C29" i="5"/>
  <c r="D29" i="5"/>
  <c r="D30" i="5"/>
  <c r="D31" i="5"/>
  <c r="D32" i="5"/>
  <c r="D33" i="5"/>
  <c r="D34" i="5"/>
  <c r="D35" i="5"/>
  <c r="I17" i="5"/>
  <c r="I18" i="5"/>
  <c r="I19" i="5"/>
  <c r="I21" i="5"/>
  <c r="I22" i="5"/>
  <c r="I23" i="5"/>
  <c r="I24" i="5"/>
  <c r="I25" i="5"/>
  <c r="I26" i="5"/>
  <c r="I27" i="5"/>
  <c r="I28" i="5"/>
  <c r="I29" i="5"/>
  <c r="I30" i="5"/>
  <c r="I31" i="5"/>
  <c r="I32" i="5"/>
  <c r="I33" i="5"/>
  <c r="I34" i="5"/>
  <c r="I35" i="5"/>
  <c r="I16" i="5"/>
  <c r="H17" i="1"/>
  <c r="H18" i="1"/>
  <c r="H19" i="1"/>
  <c r="H20" i="1"/>
  <c r="H21" i="1"/>
  <c r="H22" i="1"/>
  <c r="H23" i="1"/>
  <c r="H24" i="1"/>
  <c r="H25" i="1"/>
  <c r="H26" i="1"/>
  <c r="H27" i="1"/>
  <c r="H28" i="1"/>
  <c r="H29" i="1"/>
  <c r="H30" i="1"/>
  <c r="H31" i="1"/>
  <c r="H32" i="1"/>
  <c r="H33" i="1"/>
  <c r="H34" i="1"/>
  <c r="H35" i="1"/>
  <c r="H16" i="1"/>
  <c r="C30" i="1"/>
  <c r="C31" i="1"/>
  <c r="C32" i="1"/>
  <c r="C33" i="1"/>
  <c r="C34" i="1"/>
  <c r="C35" i="1"/>
  <c r="C29" i="1"/>
  <c r="I17" i="20"/>
  <c r="I18" i="20"/>
  <c r="I19" i="20"/>
  <c r="I20" i="20"/>
  <c r="I21" i="20"/>
  <c r="I22" i="20"/>
  <c r="I16" i="20"/>
  <c r="D29" i="20"/>
  <c r="D30" i="20"/>
  <c r="D31" i="20"/>
  <c r="D32" i="20"/>
  <c r="D33" i="20"/>
  <c r="D34" i="20"/>
  <c r="D35" i="20"/>
  <c r="H22" i="20"/>
  <c r="H21" i="20"/>
  <c r="H20" i="20"/>
  <c r="H19" i="20"/>
  <c r="H18" i="20"/>
  <c r="H17" i="20"/>
  <c r="H16" i="20"/>
  <c r="C30" i="20"/>
  <c r="C31" i="20"/>
  <c r="C32" i="20"/>
  <c r="C33" i="20"/>
  <c r="C34" i="20"/>
  <c r="C35" i="20"/>
  <c r="C29" i="20"/>
  <c r="D29" i="22"/>
  <c r="D30" i="22"/>
  <c r="D31" i="22"/>
  <c r="H17" i="23"/>
  <c r="H18" i="23"/>
  <c r="H19" i="23"/>
  <c r="H16" i="23"/>
  <c r="C30" i="23"/>
  <c r="C31" i="23"/>
  <c r="C32" i="23"/>
  <c r="C33" i="23"/>
  <c r="C34" i="23"/>
  <c r="C35" i="23"/>
  <c r="C29" i="23"/>
  <c r="I19" i="23"/>
  <c r="I18" i="23"/>
  <c r="I17" i="23"/>
  <c r="I16" i="23"/>
  <c r="D29" i="23"/>
  <c r="D30" i="23"/>
  <c r="D31" i="23"/>
  <c r="D32" i="23"/>
  <c r="D33" i="23"/>
  <c r="D34" i="23"/>
  <c r="D35" i="23"/>
  <c r="C40" i="21"/>
  <c r="D29" i="21"/>
  <c r="D30" i="21"/>
  <c r="D31" i="21"/>
  <c r="D32" i="21"/>
  <c r="D33" i="21"/>
  <c r="H21" i="36"/>
  <c r="G21" i="36"/>
  <c r="C21" i="36"/>
  <c r="F21" i="36"/>
  <c r="E21" i="36"/>
  <c r="D21" i="36"/>
  <c r="H15" i="36"/>
  <c r="H14" i="36"/>
  <c r="H13" i="36"/>
  <c r="F15" i="36"/>
  <c r="F14" i="36"/>
  <c r="F13" i="36"/>
  <c r="E15" i="36"/>
  <c r="E14" i="36"/>
  <c r="E13" i="36"/>
  <c r="D15" i="36"/>
  <c r="D14" i="36"/>
  <c r="D13" i="36"/>
  <c r="C15" i="36"/>
  <c r="C14" i="36"/>
  <c r="C13" i="36"/>
  <c r="H7" i="36"/>
  <c r="G7" i="36"/>
  <c r="F7" i="36"/>
  <c r="E7" i="36"/>
  <c r="D7" i="36"/>
  <c r="C7" i="36"/>
  <c r="H6" i="36"/>
  <c r="G6" i="36"/>
  <c r="F6" i="36"/>
  <c r="H6" i="35"/>
  <c r="G6" i="35"/>
  <c r="F6" i="35"/>
  <c r="F18" i="36"/>
  <c r="E6" i="36"/>
  <c r="D6" i="36"/>
  <c r="C6" i="36"/>
  <c r="H18" i="36"/>
  <c r="E12" i="36"/>
  <c r="C12" i="36"/>
  <c r="B11" i="36"/>
  <c r="E18" i="36"/>
  <c r="D18" i="36"/>
  <c r="C18" i="36"/>
  <c r="B5" i="36"/>
  <c r="H21" i="35"/>
  <c r="G21" i="35"/>
  <c r="F21" i="35"/>
  <c r="F18" i="35"/>
  <c r="H15" i="35"/>
  <c r="H12" i="35" s="1"/>
  <c r="F15" i="35"/>
  <c r="H14" i="35"/>
  <c r="F14" i="35"/>
  <c r="H13" i="35"/>
  <c r="F13" i="35"/>
  <c r="F12" i="35"/>
  <c r="H7" i="35"/>
  <c r="G7" i="35"/>
  <c r="F7" i="35"/>
  <c r="E21" i="35"/>
  <c r="D21" i="35"/>
  <c r="C21" i="35"/>
  <c r="D18" i="35"/>
  <c r="E15" i="35"/>
  <c r="D15" i="35"/>
  <c r="E14" i="35"/>
  <c r="D14" i="35"/>
  <c r="E13" i="35"/>
  <c r="D13" i="35"/>
  <c r="D12" i="35"/>
  <c r="B11" i="35"/>
  <c r="E7" i="35"/>
  <c r="D7" i="35"/>
  <c r="C7" i="35"/>
  <c r="E6" i="35"/>
  <c r="E18" i="35" s="1"/>
  <c r="D6" i="35"/>
  <c r="C6" i="35"/>
  <c r="B5" i="35"/>
  <c r="C40" i="34"/>
  <c r="D28" i="34"/>
  <c r="D27" i="34"/>
  <c r="D26" i="34"/>
  <c r="D25" i="34"/>
  <c r="D24" i="34"/>
  <c r="D23" i="34"/>
  <c r="D22" i="34"/>
  <c r="D21" i="34"/>
  <c r="D20" i="34"/>
  <c r="D19" i="34"/>
  <c r="D18" i="34"/>
  <c r="D17" i="34"/>
  <c r="D16" i="34"/>
  <c r="D28" i="33"/>
  <c r="D27" i="33"/>
  <c r="D26" i="33"/>
  <c r="D25" i="33"/>
  <c r="D24" i="33"/>
  <c r="D23" i="33"/>
  <c r="D22" i="33"/>
  <c r="D21" i="33"/>
  <c r="D20" i="33"/>
  <c r="D19" i="33"/>
  <c r="D18" i="33"/>
  <c r="D17" i="33"/>
  <c r="D16" i="33"/>
  <c r="C40" i="32"/>
  <c r="D28" i="32"/>
  <c r="D27" i="32"/>
  <c r="D26" i="32"/>
  <c r="D25" i="32"/>
  <c r="D24" i="32"/>
  <c r="D23" i="32"/>
  <c r="D22" i="32"/>
  <c r="D21" i="32"/>
  <c r="D20" i="32"/>
  <c r="D19" i="32"/>
  <c r="D18" i="32"/>
  <c r="D17" i="32"/>
  <c r="D16" i="32"/>
  <c r="C40" i="31"/>
  <c r="D28" i="31"/>
  <c r="D27" i="31"/>
  <c r="D26" i="31"/>
  <c r="D25" i="31"/>
  <c r="D24" i="31"/>
  <c r="D23" i="31"/>
  <c r="D22" i="31"/>
  <c r="D21" i="31"/>
  <c r="D20" i="31"/>
  <c r="D19" i="31"/>
  <c r="D18" i="31"/>
  <c r="D17" i="31"/>
  <c r="D16" i="31"/>
  <c r="C40" i="30"/>
  <c r="D28" i="30"/>
  <c r="D27" i="30"/>
  <c r="D26" i="30"/>
  <c r="D25" i="30"/>
  <c r="D24" i="30"/>
  <c r="D23" i="30"/>
  <c r="D22" i="30"/>
  <c r="D21" i="30"/>
  <c r="D20" i="30"/>
  <c r="D19" i="30"/>
  <c r="D18" i="30"/>
  <c r="D17" i="30"/>
  <c r="D16" i="30"/>
  <c r="C40" i="29"/>
  <c r="D28" i="29"/>
  <c r="D27" i="29"/>
  <c r="D26" i="29"/>
  <c r="D25" i="29"/>
  <c r="D24" i="29"/>
  <c r="D23" i="29"/>
  <c r="D22" i="29"/>
  <c r="D21" i="29"/>
  <c r="D20" i="29"/>
  <c r="D19" i="29"/>
  <c r="D18" i="29"/>
  <c r="D17" i="29"/>
  <c r="D16" i="29"/>
  <c r="D28" i="27"/>
  <c r="D27" i="27"/>
  <c r="D26" i="27"/>
  <c r="D25" i="27"/>
  <c r="D24" i="27"/>
  <c r="D23" i="27"/>
  <c r="D22" i="27"/>
  <c r="D21" i="27"/>
  <c r="D20" i="27"/>
  <c r="D19" i="27"/>
  <c r="D18" i="27"/>
  <c r="D17" i="27"/>
  <c r="D16" i="27"/>
  <c r="Q30" i="8"/>
  <c r="Q31" i="8"/>
  <c r="Q27" i="8"/>
  <c r="Q29" i="8"/>
  <c r="N13" i="8"/>
  <c r="N12" i="8"/>
  <c r="N11" i="8"/>
  <c r="N10" i="8"/>
  <c r="Q28" i="8" s="1"/>
  <c r="N8" i="8"/>
  <c r="Q26" i="8" s="1"/>
  <c r="N9" i="8"/>
  <c r="N7" i="8"/>
  <c r="Q25" i="8" s="1"/>
  <c r="N6" i="8"/>
  <c r="K11" i="8"/>
  <c r="K9" i="8"/>
  <c r="K7" i="8"/>
  <c r="K5" i="8"/>
  <c r="L9" i="8"/>
  <c r="H9" i="8" s="1"/>
  <c r="L7" i="8"/>
  <c r="H7" i="8" s="1"/>
  <c r="J30" i="39" a="1"/>
  <c r="J26" i="29" a="1"/>
  <c r="J34" i="33" a="1"/>
  <c r="J22" i="29" a="1"/>
  <c r="E33" i="30" a="1"/>
  <c r="E20" i="19" a="1"/>
  <c r="J24" i="27" a="1"/>
  <c r="J27" i="29" a="1"/>
  <c r="J25" i="31" a="1"/>
  <c r="E35" i="29" a="1"/>
  <c r="J29" i="31" a="1"/>
  <c r="J25" i="29" a="1"/>
  <c r="J28" i="29" a="1"/>
  <c r="J32" i="29" a="1"/>
  <c r="J20" i="31" a="1"/>
  <c r="P13" i="8" a="1"/>
  <c r="J27" i="32" a="1"/>
  <c r="J26" i="27" a="1"/>
  <c r="J31" i="27" a="1"/>
  <c r="J22" i="31" a="1"/>
  <c r="E34" i="29" a="1"/>
  <c r="J22" i="30" a="1"/>
  <c r="J16" i="30" a="1"/>
  <c r="J27" i="27" a="1"/>
  <c r="J31" i="30" a="1"/>
  <c r="J23" i="29" a="1"/>
  <c r="J26" i="33" a="1"/>
  <c r="P9" i="8" a="1"/>
  <c r="E32" i="30" a="1"/>
  <c r="J25" i="27" a="1"/>
  <c r="J28" i="34" a="1"/>
  <c r="E31" i="30" a="1"/>
  <c r="J34" i="34" a="1"/>
  <c r="J33" i="29" a="1"/>
  <c r="J32" i="34" a="1"/>
  <c r="J31" i="33" a="1"/>
  <c r="J26" i="34" a="1"/>
  <c r="J19" i="31" a="1"/>
  <c r="J31" i="34" a="1"/>
  <c r="J18" i="29" a="1"/>
  <c r="J17" i="32" a="1"/>
  <c r="E29" i="32" a="1"/>
  <c r="J23" i="33" a="1"/>
  <c r="J20" i="34" a="1"/>
  <c r="C20" i="36" a="1"/>
  <c r="J25" i="32" a="1"/>
  <c r="D20" i="35" a="1"/>
  <c r="C20" i="35" a="1"/>
  <c r="J30" i="27" a="1"/>
  <c r="J24" i="33" a="1"/>
  <c r="J30" i="29" a="1"/>
  <c r="P11" i="8" a="1"/>
  <c r="C38" i="29" a="1"/>
  <c r="P12" i="8" a="1"/>
  <c r="J20" i="33" a="1"/>
  <c r="J17" i="30" a="1"/>
  <c r="J23" i="27" a="1"/>
  <c r="J33" i="27" a="1"/>
  <c r="J18" i="30" a="1"/>
  <c r="J30" i="34" a="1"/>
  <c r="J32" i="32" a="1"/>
  <c r="J28" i="27" a="1"/>
  <c r="J18" i="34" a="1"/>
  <c r="J30" i="31" a="1"/>
  <c r="J30" i="33" a="1"/>
  <c r="J28" i="33" a="1"/>
  <c r="E31" i="31" a="1"/>
  <c r="E30" i="31" a="1"/>
  <c r="E33" i="31" a="1"/>
  <c r="J17" i="34" a="1"/>
  <c r="J29" i="29" a="1"/>
  <c r="J18" i="32" a="1"/>
  <c r="J32" i="33" a="1"/>
  <c r="C38" i="37" a="1"/>
  <c r="J27" i="34" a="1"/>
  <c r="J25" i="33" a="1"/>
  <c r="P10" i="8" a="1"/>
  <c r="E21" i="19" a="1"/>
  <c r="J29" i="32" a="1"/>
  <c r="J26" i="32" a="1"/>
  <c r="P8" i="8" a="1"/>
  <c r="J32" i="31" a="1"/>
  <c r="J28" i="32" a="1"/>
  <c r="J28" i="31" a="1"/>
  <c r="J33" i="31" a="1"/>
  <c r="J32" i="27" a="1"/>
  <c r="J17" i="29" a="1"/>
  <c r="J35" i="39" a="1"/>
  <c r="J17" i="33" a="1"/>
  <c r="E35" i="30" a="1"/>
  <c r="J19" i="33" a="1"/>
  <c r="J26" i="30" a="1"/>
  <c r="J21" i="30" a="1"/>
  <c r="J18" i="31" a="1"/>
  <c r="E34" i="30" a="1"/>
  <c r="J19" i="30" a="1"/>
  <c r="F20" i="36" a="1"/>
  <c r="J24" i="34" a="1"/>
  <c r="P7" i="8" a="1"/>
  <c r="J21" i="34" a="1"/>
  <c r="P6" i="8" a="1"/>
  <c r="J35" i="34" a="1"/>
  <c r="G20" i="35" a="1"/>
  <c r="D20" i="36" a="1"/>
  <c r="C38" i="31" a="1"/>
  <c r="J29" i="27" a="1"/>
  <c r="J23" i="32" a="1"/>
  <c r="J24" i="29" a="1"/>
  <c r="J17" i="31" a="1"/>
  <c r="E30" i="34" a="1"/>
  <c r="J16" i="34" a="1"/>
  <c r="E32" i="32" a="1"/>
  <c r="J20" i="32" a="1"/>
  <c r="J31" i="31" a="1"/>
  <c r="C38" i="34" a="1"/>
  <c r="E35" i="32" a="1"/>
  <c r="J23" i="34" a="1"/>
  <c r="J24" i="30" a="1"/>
  <c r="J29" i="34" a="1"/>
  <c r="J16" i="32" a="1"/>
  <c r="J35" i="32" a="1"/>
  <c r="E31" i="32" a="1"/>
  <c r="J34" i="32" a="1"/>
  <c r="E30" i="32" a="1"/>
  <c r="E20" i="35" a="1"/>
  <c r="J35" i="29" a="1"/>
  <c r="F20" i="35" a="1"/>
  <c r="J31" i="39" a="1"/>
  <c r="J35" i="27" a="1"/>
  <c r="J24" i="32" a="1"/>
  <c r="J29" i="33" a="1"/>
  <c r="J30" i="30" a="1"/>
  <c r="J29" i="30" a="1"/>
  <c r="J21" i="32" a="1"/>
  <c r="J35" i="31" a="1"/>
  <c r="E29" i="30" a="1"/>
  <c r="C38" i="39" a="1"/>
  <c r="J34" i="27" a="1"/>
  <c r="E31" i="34" a="1"/>
  <c r="J20" i="29" a="1"/>
  <c r="J19" i="32" a="1"/>
  <c r="J33" i="34" a="1"/>
  <c r="J16" i="29" a="1"/>
  <c r="J33" i="39" a="1"/>
  <c r="E34" i="32" a="1"/>
  <c r="J34" i="31" a="1"/>
  <c r="J23" i="31" a="1"/>
  <c r="J27" i="31" a="1"/>
  <c r="E29" i="31" a="1"/>
  <c r="J25" i="34" a="1"/>
  <c r="J16" i="31" a="1"/>
  <c r="E30" i="30" a="1"/>
  <c r="J34" i="39" a="1"/>
  <c r="J34" i="30" a="1"/>
  <c r="E20" i="36" a="1"/>
  <c r="J27" i="30" a="1"/>
  <c r="E35" i="34" a="1"/>
  <c r="J22" i="34" a="1"/>
  <c r="C38" i="27" a="1"/>
  <c r="E33" i="32" a="1"/>
  <c r="E22" i="19" a="1"/>
  <c r="C38" i="38" a="1"/>
  <c r="J31" i="32" a="1"/>
  <c r="J33" i="30" a="1"/>
  <c r="E33" i="29" a="1"/>
  <c r="E29" i="34" a="1"/>
  <c r="J33" i="32" a="1"/>
  <c r="J32" i="39" a="1"/>
  <c r="J26" i="31" a="1"/>
  <c r="J18" i="33" a="1"/>
  <c r="E33" i="34" a="1"/>
  <c r="J34" i="29" a="1"/>
  <c r="J19" i="29" a="1"/>
  <c r="J21" i="29" a="1"/>
  <c r="C38" i="32" a="1"/>
  <c r="J30" i="32" a="1"/>
  <c r="E34" i="31" a="1"/>
  <c r="J35" i="30" a="1"/>
  <c r="J24" i="31" a="1"/>
  <c r="J25" i="30" a="1"/>
  <c r="H20" i="35" a="1"/>
  <c r="J22" i="33" a="1"/>
  <c r="J21" i="33" a="1"/>
  <c r="J27" i="33" a="1"/>
  <c r="J20" i="30" a="1"/>
  <c r="J32" i="30" a="1"/>
  <c r="J16" i="33" a="1"/>
  <c r="C38" i="30" a="1"/>
  <c r="J22" i="32" a="1"/>
  <c r="J33" i="33" a="1"/>
  <c r="J19" i="34" a="1"/>
  <c r="G20" i="36" a="1"/>
  <c r="J21" i="31" a="1"/>
  <c r="J28" i="30" a="1"/>
  <c r="J35" i="33" a="1"/>
  <c r="J31" i="29" a="1"/>
  <c r="H20" i="36" a="1"/>
  <c r="C38" i="33" a="1"/>
  <c r="E34" i="34" a="1"/>
  <c r="E35" i="31" a="1"/>
  <c r="C38" i="3" a="1"/>
  <c r="E32" i="34" a="1"/>
  <c r="E32" i="31" a="1"/>
  <c r="J23" i="30" a="1"/>
  <c r="E32" i="37" a="1"/>
  <c r="E22" i="31" a="1"/>
  <c r="J19" i="37" a="1"/>
  <c r="E21" i="33" a="1"/>
  <c r="J26" i="37" a="1"/>
  <c r="J24" i="39" a="1"/>
  <c r="J25" i="39" a="1"/>
  <c r="J24" i="37" a="1"/>
  <c r="J30" i="38" a="1"/>
  <c r="E24" i="33" a="1"/>
  <c r="E34" i="33" a="1"/>
  <c r="J33" i="38" a="1"/>
  <c r="E16" i="29" a="1"/>
  <c r="E28" i="38" a="1"/>
  <c r="E24" i="38" a="1"/>
  <c r="C39" i="27" a="1"/>
  <c r="E28" i="31" a="1"/>
  <c r="J17" i="27" a="1"/>
  <c r="J20" i="37" a="1"/>
  <c r="E17" i="32" a="1"/>
  <c r="C39" i="38" a="1"/>
  <c r="J31" i="38" a="1"/>
  <c r="E18" i="29" a="1"/>
  <c r="E30" i="29" a="1"/>
  <c r="E32" i="33" a="1"/>
  <c r="E16" i="37" a="1"/>
  <c r="J16" i="39" a="1"/>
  <c r="E20" i="27" a="1"/>
  <c r="E23" i="27" a="1"/>
  <c r="E23" i="32" a="1"/>
  <c r="E24" i="32" a="1"/>
  <c r="E27" i="31" a="1"/>
  <c r="E25" i="34" a="1"/>
  <c r="E18" i="39" a="1"/>
  <c r="E28" i="27" a="1"/>
  <c r="E24" i="39" a="1"/>
  <c r="E28" i="29" a="1"/>
  <c r="E18" i="32" a="1"/>
  <c r="E26" i="39" a="1"/>
  <c r="J18" i="27" a="1"/>
  <c r="E31" i="38" a="1"/>
  <c r="J22" i="27" a="1"/>
  <c r="E16" i="32" a="1"/>
  <c r="E23" i="38" a="1"/>
  <c r="E16" i="34" a="1"/>
  <c r="J26" i="39" a="1"/>
  <c r="E33" i="38" a="1"/>
  <c r="E16" i="30" a="1"/>
  <c r="E35" i="33" a="1"/>
  <c r="J24" i="38" a="1"/>
  <c r="C39" i="34" a="1"/>
  <c r="E25" i="32" a="1"/>
  <c r="E22" i="34" a="1"/>
  <c r="E16" i="38" a="1"/>
  <c r="E25" i="39" a="1"/>
  <c r="E23" i="34" a="1"/>
  <c r="E29" i="38" a="1"/>
  <c r="E20" i="33" a="1"/>
  <c r="E30" i="27" a="1"/>
  <c r="E17" i="33" a="1"/>
  <c r="E28" i="37" a="1"/>
  <c r="E35" i="37" a="1"/>
  <c r="E27" i="38" a="1"/>
  <c r="E28" i="34" a="1"/>
  <c r="E31" i="29" a="1"/>
  <c r="C39" i="39" a="1"/>
  <c r="E16" i="39" a="1"/>
  <c r="E25" i="38" a="1"/>
  <c r="E29" i="29" a="1"/>
  <c r="J35" i="38" a="1"/>
  <c r="J20" i="38" a="1"/>
  <c r="E18" i="37" a="1"/>
  <c r="J28" i="39" a="1"/>
  <c r="J28" i="37" a="1"/>
  <c r="E22" i="33" a="1"/>
  <c r="E20" i="32" a="1"/>
  <c r="E27" i="30" a="1"/>
  <c r="E21" i="37" a="1"/>
  <c r="C39" i="32" a="1"/>
  <c r="J29" i="37" a="1"/>
  <c r="J19" i="38" a="1"/>
  <c r="E20" i="34" a="1"/>
  <c r="J32" i="38" a="1"/>
  <c r="E20" i="37" a="1"/>
  <c r="C39" i="30" a="1"/>
  <c r="E17" i="27" a="1"/>
  <c r="J27" i="37" a="1"/>
  <c r="J18" i="37" a="1"/>
  <c r="E17" i="37" a="1"/>
  <c r="E17" i="30" a="1"/>
  <c r="J16" i="38" a="1"/>
  <c r="E22" i="32" a="1"/>
  <c r="E19" i="34" a="1"/>
  <c r="J34" i="37" a="1"/>
  <c r="E32" i="27" a="1"/>
  <c r="E17" i="38" a="1"/>
  <c r="E24" i="29" a="1"/>
  <c r="J22" i="38" a="1"/>
  <c r="C39" i="31" a="1"/>
  <c r="J35" i="37" a="1"/>
  <c r="J17" i="38" a="1"/>
  <c r="E29" i="39" a="1"/>
  <c r="E17" i="39" a="1"/>
  <c r="E26" i="27" a="1"/>
  <c r="E19" i="27" a="1"/>
  <c r="E26" i="38" a="1"/>
  <c r="E28" i="30" a="1"/>
  <c r="E33" i="27" a="1"/>
  <c r="E31" i="27" a="1"/>
  <c r="J31" i="37" a="1"/>
  <c r="E33" i="39" a="1"/>
  <c r="E24" i="37" a="1"/>
  <c r="E18" i="33" a="1"/>
  <c r="J16" i="27" a="1"/>
  <c r="E21" i="32" a="1"/>
  <c r="J30" i="37" a="1"/>
  <c r="E18" i="27" a="1"/>
  <c r="E21" i="38" a="1"/>
  <c r="E31" i="39" a="1"/>
  <c r="E23" i="30" a="1"/>
  <c r="E27" i="29" a="1"/>
  <c r="E25" i="31" a="1"/>
  <c r="J21" i="39" a="1"/>
  <c r="E21" i="30" a="1"/>
  <c r="J26" i="38" a="1"/>
  <c r="E27" i="34" a="1"/>
  <c r="E24" i="31" a="1"/>
  <c r="E33" i="37" a="1"/>
  <c r="E20" i="38" a="1"/>
  <c r="E25" i="27" a="1"/>
  <c r="E18" i="34" a="1"/>
  <c r="E21" i="34" a="1"/>
  <c r="E20" i="39" a="1"/>
  <c r="E30" i="38" a="1"/>
  <c r="E33" i="33" a="1"/>
  <c r="E22" i="37" a="1"/>
  <c r="J34" i="38" a="1"/>
  <c r="E30" i="37" a="1"/>
  <c r="E23" i="33" a="1"/>
  <c r="E23" i="39" a="1"/>
  <c r="E20" i="30" a="1"/>
  <c r="J18" i="38" a="1"/>
  <c r="E23" i="31" a="1"/>
  <c r="J32" i="37" a="1"/>
  <c r="E29" i="37" a="1"/>
  <c r="E23" i="29" a="1"/>
  <c r="E19" i="39" a="1"/>
  <c r="C39" i="29" a="1"/>
  <c r="E19" i="32" a="1"/>
  <c r="E16" i="31" a="1"/>
  <c r="E16" i="27" a="1"/>
  <c r="E18" i="38" a="1"/>
  <c r="E34" i="38" a="1"/>
  <c r="E34" i="39" a="1"/>
  <c r="E24" i="30" a="1"/>
  <c r="E27" i="33" a="1"/>
  <c r="E20" i="31" a="1"/>
  <c r="E20" i="29" a="1"/>
  <c r="J22" i="39" a="1"/>
  <c r="E21" i="39" a="1"/>
  <c r="E18" i="30" a="1"/>
  <c r="E26" i="31" a="1"/>
  <c r="E19" i="31" a="1"/>
  <c r="E19" i="33" a="1"/>
  <c r="J16" i="37" a="1"/>
  <c r="E27" i="37" a="1"/>
  <c r="E21" i="29" a="1"/>
  <c r="E26" i="30" a="1"/>
  <c r="E28" i="32" a="1"/>
  <c r="J29" i="38" a="1"/>
  <c r="E16" i="33" a="1"/>
  <c r="C39" i="33" a="1"/>
  <c r="E19" i="37" a="1"/>
  <c r="E19" i="38" a="1"/>
  <c r="E24" i="27" a="1"/>
  <c r="E27" i="27" a="1"/>
  <c r="J19" i="39" a="1"/>
  <c r="E21" i="27" a="1"/>
  <c r="J22" i="37" a="1"/>
  <c r="E29" i="27" a="1"/>
  <c r="J23" i="38" a="1"/>
  <c r="E25" i="29" a="1"/>
  <c r="E23" i="37" a="1"/>
  <c r="J23" i="37" a="1"/>
  <c r="J29" i="39" a="1"/>
  <c r="E32" i="29" a="1"/>
  <c r="E26" i="32" a="1"/>
  <c r="J17" i="37" a="1"/>
  <c r="E29" i="33" a="1"/>
  <c r="E35" i="38" a="1"/>
  <c r="E18" i="31" a="1"/>
  <c r="E32" i="39" a="1"/>
  <c r="E22" i="30" a="1"/>
  <c r="E34" i="37" a="1"/>
  <c r="E32" i="38" a="1"/>
  <c r="E21" i="31" a="1"/>
  <c r="J17" i="39" a="1"/>
  <c r="E35" i="39" a="1"/>
  <c r="J18" i="39" a="1"/>
  <c r="E19" i="30" a="1"/>
  <c r="J21" i="37" a="1"/>
  <c r="J28" i="38" a="1"/>
  <c r="E22" i="29" a="1"/>
  <c r="J25" i="37" a="1"/>
  <c r="E26" i="37" a="1"/>
  <c r="J27" i="39" a="1"/>
  <c r="J20" i="27" a="1"/>
  <c r="J21" i="38" a="1"/>
  <c r="E26" i="33" a="1"/>
  <c r="E31" i="33" a="1"/>
  <c r="E17" i="29" a="1"/>
  <c r="J33" i="37" a="1"/>
  <c r="E25" i="37" a="1"/>
  <c r="E25" i="33" a="1"/>
  <c r="C39" i="37" a="1"/>
  <c r="E35" i="27" a="1"/>
  <c r="J27" i="38" a="1"/>
  <c r="E24" i="34" a="1"/>
  <c r="E34" i="27" a="1"/>
  <c r="E27" i="39" a="1"/>
  <c r="E27" i="32" a="1"/>
  <c r="E17" i="34" a="1"/>
  <c r="J23" i="39" a="1"/>
  <c r="E30" i="39" a="1"/>
  <c r="E22" i="27" a="1"/>
  <c r="E28" i="39" a="1"/>
  <c r="E28" i="33" a="1"/>
  <c r="J25" i="38" a="1"/>
  <c r="J19" i="27" a="1"/>
  <c r="E31" i="37" a="1"/>
  <c r="E30" i="33" a="1"/>
  <c r="E26" i="34" a="1"/>
  <c r="E22" i="38" a="1"/>
  <c r="E25" i="30" a="1"/>
  <c r="J21" i="27" a="1"/>
  <c r="E22" i="39" a="1"/>
  <c r="J20" i="39" a="1"/>
  <c r="E19" i="29" a="1"/>
  <c r="E17" i="31" a="1"/>
  <c r="E26" i="29" a="1"/>
  <c r="C40" i="39" l="1"/>
  <c r="E22" i="39"/>
  <c r="E30" i="39"/>
  <c r="J32" i="39"/>
  <c r="E20" i="39"/>
  <c r="J34" i="39"/>
  <c r="J16" i="39"/>
  <c r="J18" i="39"/>
  <c r="J20" i="39"/>
  <c r="J22" i="39"/>
  <c r="J24" i="39"/>
  <c r="J26" i="39"/>
  <c r="J28" i="39"/>
  <c r="J30" i="39"/>
  <c r="E35" i="39"/>
  <c r="E16" i="39"/>
  <c r="E28" i="39"/>
  <c r="E26" i="39"/>
  <c r="E33" i="39"/>
  <c r="J35" i="39"/>
  <c r="E18" i="39"/>
  <c r="E32" i="39"/>
  <c r="E17" i="39"/>
  <c r="E19" i="39"/>
  <c r="E21" i="39"/>
  <c r="E23" i="39"/>
  <c r="E25" i="39"/>
  <c r="E27" i="39"/>
  <c r="E29" i="39"/>
  <c r="E31" i="39"/>
  <c r="J33" i="39"/>
  <c r="C38" i="39"/>
  <c r="E24" i="39"/>
  <c r="J31" i="39"/>
  <c r="C39" i="39"/>
  <c r="J17" i="39"/>
  <c r="J19" i="39"/>
  <c r="J21" i="39"/>
  <c r="J23" i="39"/>
  <c r="J25" i="39"/>
  <c r="J27" i="39"/>
  <c r="J29" i="39"/>
  <c r="E34" i="39"/>
  <c r="C40" i="38"/>
  <c r="E33" i="38"/>
  <c r="E16" i="38"/>
  <c r="E18" i="38"/>
  <c r="E20" i="38"/>
  <c r="E22" i="38"/>
  <c r="E24" i="38"/>
  <c r="E26" i="38"/>
  <c r="E28" i="38"/>
  <c r="E35" i="38"/>
  <c r="E30" i="38"/>
  <c r="J16" i="38"/>
  <c r="J18" i="38"/>
  <c r="J20" i="38"/>
  <c r="J22" i="38"/>
  <c r="J24" i="38"/>
  <c r="J26" i="38"/>
  <c r="J28" i="38"/>
  <c r="E32" i="38"/>
  <c r="J35" i="38"/>
  <c r="J30" i="38"/>
  <c r="E34" i="38"/>
  <c r="C38" i="38"/>
  <c r="J29" i="38"/>
  <c r="J31" i="38"/>
  <c r="E29" i="38"/>
  <c r="J32" i="38"/>
  <c r="C39" i="38"/>
  <c r="J17" i="38"/>
  <c r="J19" i="38"/>
  <c r="J21" i="38"/>
  <c r="J23" i="38"/>
  <c r="J25" i="38"/>
  <c r="J27" i="38"/>
  <c r="J33" i="38"/>
  <c r="E17" i="38"/>
  <c r="E19" i="38"/>
  <c r="E21" i="38"/>
  <c r="E23" i="38"/>
  <c r="E25" i="38"/>
  <c r="E27" i="38"/>
  <c r="E31" i="38"/>
  <c r="J34" i="38"/>
  <c r="C40" i="37"/>
  <c r="E22" i="37"/>
  <c r="E35" i="37"/>
  <c r="E30" i="37"/>
  <c r="J33" i="37"/>
  <c r="J27" i="37"/>
  <c r="E33" i="37"/>
  <c r="E18" i="37"/>
  <c r="J16" i="37"/>
  <c r="J18" i="37"/>
  <c r="J20" i="37"/>
  <c r="J22" i="37"/>
  <c r="J24" i="37"/>
  <c r="J26" i="37"/>
  <c r="J28" i="37"/>
  <c r="E32" i="37"/>
  <c r="J35" i="37"/>
  <c r="J30" i="37"/>
  <c r="E34" i="37"/>
  <c r="C38" i="37"/>
  <c r="J21" i="37"/>
  <c r="J17" i="37"/>
  <c r="J19" i="37"/>
  <c r="J23" i="37"/>
  <c r="J25" i="37"/>
  <c r="J29" i="37"/>
  <c r="E20" i="37"/>
  <c r="E26" i="37"/>
  <c r="E19" i="37"/>
  <c r="E25" i="37"/>
  <c r="E16" i="37"/>
  <c r="E24" i="37"/>
  <c r="E28" i="37"/>
  <c r="J31" i="37"/>
  <c r="E17" i="37"/>
  <c r="E21" i="37"/>
  <c r="E23" i="37"/>
  <c r="E27" i="37"/>
  <c r="E29" i="37"/>
  <c r="J32" i="37"/>
  <c r="C39" i="37"/>
  <c r="E31" i="37"/>
  <c r="J34" i="37"/>
  <c r="C38" i="3"/>
  <c r="E22" i="19"/>
  <c r="E21" i="19"/>
  <c r="E20" i="19"/>
  <c r="H18" i="35"/>
  <c r="G15" i="35"/>
  <c r="G18" i="35" s="1"/>
  <c r="G13" i="35"/>
  <c r="G14" i="35"/>
  <c r="C40" i="27"/>
  <c r="C40" i="33"/>
  <c r="G14" i="36"/>
  <c r="G13" i="36"/>
  <c r="G15" i="36"/>
  <c r="G18" i="36" s="1"/>
  <c r="L13" i="8"/>
  <c r="H13" i="8" s="1"/>
  <c r="K13" i="8"/>
  <c r="L12" i="8"/>
  <c r="H12" i="8" s="1"/>
  <c r="K12" i="8"/>
  <c r="I12" i="8"/>
  <c r="N30" i="8" s="1"/>
  <c r="I11" i="8"/>
  <c r="N29" i="8" s="1"/>
  <c r="I6" i="8"/>
  <c r="I9" i="8"/>
  <c r="N27" i="8" s="1"/>
  <c r="I7" i="8"/>
  <c r="N25" i="8" s="1"/>
  <c r="I13" i="8"/>
  <c r="N31" i="8" s="1"/>
  <c r="L11" i="8"/>
  <c r="H11" i="8" s="1"/>
  <c r="C13" i="35"/>
  <c r="C15" i="35"/>
  <c r="C18" i="35" s="1"/>
  <c r="C14" i="35"/>
  <c r="L4" i="8"/>
  <c r="L10" i="8"/>
  <c r="H10" i="8" s="1"/>
  <c r="I10" i="8"/>
  <c r="N28" i="8" s="1"/>
  <c r="K10" i="8"/>
  <c r="I8" i="8"/>
  <c r="N26" i="8" s="1"/>
  <c r="L8" i="8"/>
  <c r="H8" i="8" s="1"/>
  <c r="K8" i="8"/>
  <c r="H20" i="36"/>
  <c r="G20" i="36"/>
  <c r="F20" i="36"/>
  <c r="E20" i="36"/>
  <c r="D20" i="36"/>
  <c r="C20" i="36"/>
  <c r="D12" i="36"/>
  <c r="F12" i="36"/>
  <c r="H12" i="36"/>
  <c r="H20" i="35"/>
  <c r="G20" i="35"/>
  <c r="F20" i="35"/>
  <c r="C20" i="35"/>
  <c r="D20" i="35"/>
  <c r="E20" i="35"/>
  <c r="E12" i="35"/>
  <c r="E21" i="34"/>
  <c r="J23" i="34"/>
  <c r="J16" i="34"/>
  <c r="E26" i="34"/>
  <c r="J28" i="34"/>
  <c r="J31" i="34"/>
  <c r="J34" i="34"/>
  <c r="J21" i="34"/>
  <c r="E17" i="34"/>
  <c r="J19" i="34"/>
  <c r="E19" i="34"/>
  <c r="E24" i="34"/>
  <c r="E29" i="34"/>
  <c r="E35" i="34"/>
  <c r="E22" i="34"/>
  <c r="J24" i="34"/>
  <c r="J29" i="34"/>
  <c r="J32" i="34"/>
  <c r="J35" i="34"/>
  <c r="J17" i="34"/>
  <c r="E27" i="34"/>
  <c r="J26" i="34"/>
  <c r="E32" i="34"/>
  <c r="E20" i="34"/>
  <c r="J22" i="34"/>
  <c r="E30" i="34"/>
  <c r="E33" i="34"/>
  <c r="C38" i="34"/>
  <c r="E25" i="34"/>
  <c r="J27" i="34"/>
  <c r="E18" i="34"/>
  <c r="J20" i="34"/>
  <c r="J30" i="34"/>
  <c r="J33" i="34"/>
  <c r="C39" i="34"/>
  <c r="E23" i="34"/>
  <c r="J25" i="34"/>
  <c r="E16" i="34"/>
  <c r="J18" i="34"/>
  <c r="E28" i="34"/>
  <c r="E31" i="34"/>
  <c r="E34" i="34"/>
  <c r="E16" i="33"/>
  <c r="J16" i="33"/>
  <c r="E26" i="33"/>
  <c r="J34" i="33"/>
  <c r="E19" i="33"/>
  <c r="J21" i="33"/>
  <c r="J23" i="33"/>
  <c r="J28" i="33"/>
  <c r="J31" i="33"/>
  <c r="E24" i="33"/>
  <c r="J26" i="33"/>
  <c r="E29" i="33"/>
  <c r="E32" i="33"/>
  <c r="E35" i="33"/>
  <c r="J18" i="33"/>
  <c r="E21" i="33"/>
  <c r="E17" i="33"/>
  <c r="J19" i="33"/>
  <c r="E22" i="33"/>
  <c r="J24" i="33"/>
  <c r="J29" i="33"/>
  <c r="J32" i="33"/>
  <c r="J35" i="33"/>
  <c r="J17" i="33"/>
  <c r="E27" i="33"/>
  <c r="E20" i="33"/>
  <c r="J22" i="33"/>
  <c r="E30" i="33"/>
  <c r="E33" i="33"/>
  <c r="C38" i="33"/>
  <c r="E25" i="33"/>
  <c r="J27" i="33"/>
  <c r="E18" i="33"/>
  <c r="J20" i="33"/>
  <c r="J30" i="33"/>
  <c r="J33" i="33"/>
  <c r="C39" i="33"/>
  <c r="E23" i="33"/>
  <c r="J25" i="33"/>
  <c r="E28" i="33"/>
  <c r="E31" i="33"/>
  <c r="E34" i="33"/>
  <c r="J22" i="32"/>
  <c r="E16" i="32"/>
  <c r="J23" i="32"/>
  <c r="J16" i="32"/>
  <c r="E26" i="32"/>
  <c r="J28" i="32"/>
  <c r="J31" i="32"/>
  <c r="J34" i="32"/>
  <c r="J25" i="32"/>
  <c r="J18" i="32"/>
  <c r="E34" i="32"/>
  <c r="E19" i="32"/>
  <c r="J21" i="32"/>
  <c r="E23" i="32"/>
  <c r="E31" i="32"/>
  <c r="E21" i="32"/>
  <c r="E24" i="32"/>
  <c r="J26" i="32"/>
  <c r="E29" i="32"/>
  <c r="E32" i="32"/>
  <c r="E35" i="32"/>
  <c r="E17" i="32"/>
  <c r="J19" i="32"/>
  <c r="E22" i="32"/>
  <c r="J24" i="32"/>
  <c r="J29" i="32"/>
  <c r="J32" i="32"/>
  <c r="J35" i="32"/>
  <c r="J17" i="32"/>
  <c r="E27" i="32"/>
  <c r="C38" i="32"/>
  <c r="E20" i="32"/>
  <c r="E25" i="32"/>
  <c r="J27" i="32"/>
  <c r="E18" i="32"/>
  <c r="J20" i="32"/>
  <c r="J30" i="32"/>
  <c r="J33" i="32"/>
  <c r="C39" i="32"/>
  <c r="E33" i="32"/>
  <c r="E30" i="32"/>
  <c r="E28" i="32"/>
  <c r="E21" i="31"/>
  <c r="J23" i="31"/>
  <c r="J16" i="31"/>
  <c r="E26" i="31"/>
  <c r="J28" i="31"/>
  <c r="J31" i="31"/>
  <c r="J34" i="31"/>
  <c r="E20" i="31"/>
  <c r="E19" i="31"/>
  <c r="J21" i="31"/>
  <c r="E24" i="31"/>
  <c r="J26" i="31"/>
  <c r="E29" i="31"/>
  <c r="E32" i="31"/>
  <c r="E35" i="31"/>
  <c r="J22" i="31"/>
  <c r="E17" i="31"/>
  <c r="J19" i="31"/>
  <c r="E22" i="31"/>
  <c r="J24" i="31"/>
  <c r="J29" i="31"/>
  <c r="J32" i="31"/>
  <c r="J35" i="31"/>
  <c r="J17" i="31"/>
  <c r="E27" i="31"/>
  <c r="E30" i="31"/>
  <c r="E33" i="31"/>
  <c r="C38" i="31"/>
  <c r="E19" i="36" s="1"/>
  <c r="E25" i="31"/>
  <c r="J27" i="31"/>
  <c r="E18" i="31"/>
  <c r="J20" i="31"/>
  <c r="J30" i="31"/>
  <c r="J33" i="31"/>
  <c r="C39" i="31"/>
  <c r="E23" i="31"/>
  <c r="J25" i="31"/>
  <c r="E16" i="31"/>
  <c r="J18" i="31"/>
  <c r="E28" i="31"/>
  <c r="E31" i="31"/>
  <c r="E34" i="31"/>
  <c r="J16" i="30"/>
  <c r="E26" i="30"/>
  <c r="J28" i="30"/>
  <c r="J31" i="30"/>
  <c r="J34" i="30"/>
  <c r="E24" i="30"/>
  <c r="J26" i="30"/>
  <c r="E29" i="30"/>
  <c r="E32" i="30"/>
  <c r="E35" i="30"/>
  <c r="E16" i="30"/>
  <c r="J18" i="30"/>
  <c r="E28" i="30"/>
  <c r="E31" i="30"/>
  <c r="E21" i="30"/>
  <c r="E19" i="30"/>
  <c r="E17" i="30"/>
  <c r="J19" i="30"/>
  <c r="E34" i="30"/>
  <c r="J23" i="30"/>
  <c r="J21" i="30"/>
  <c r="E22" i="30"/>
  <c r="J24" i="30"/>
  <c r="J29" i="30"/>
  <c r="J32" i="30"/>
  <c r="J35" i="30"/>
  <c r="E27" i="30"/>
  <c r="E20" i="30"/>
  <c r="E30" i="30"/>
  <c r="E33" i="30"/>
  <c r="C38" i="30"/>
  <c r="D19" i="36" s="1"/>
  <c r="E25" i="30"/>
  <c r="J27" i="30"/>
  <c r="J22" i="30"/>
  <c r="E18" i="30"/>
  <c r="J20" i="30"/>
  <c r="J30" i="30"/>
  <c r="J33" i="30"/>
  <c r="C39" i="30"/>
  <c r="J17" i="30"/>
  <c r="E23" i="30"/>
  <c r="J25" i="30"/>
  <c r="J18" i="29"/>
  <c r="J28" i="29"/>
  <c r="J34" i="29"/>
  <c r="E24" i="29"/>
  <c r="J26" i="29"/>
  <c r="E29" i="29"/>
  <c r="E32" i="29"/>
  <c r="E35" i="29"/>
  <c r="J23" i="29"/>
  <c r="E26" i="29"/>
  <c r="J21" i="29"/>
  <c r="E17" i="29"/>
  <c r="J19" i="29"/>
  <c r="E21" i="29"/>
  <c r="J16" i="29"/>
  <c r="J31" i="29"/>
  <c r="E19" i="29"/>
  <c r="E22" i="29"/>
  <c r="J24" i="29"/>
  <c r="J29" i="29"/>
  <c r="J32" i="29"/>
  <c r="J35" i="29"/>
  <c r="E27" i="29"/>
  <c r="E20" i="29"/>
  <c r="J22" i="29"/>
  <c r="E30" i="29"/>
  <c r="E33" i="29"/>
  <c r="C38" i="29"/>
  <c r="J17" i="29"/>
  <c r="E25" i="29"/>
  <c r="J27" i="29"/>
  <c r="J30" i="29"/>
  <c r="J33" i="29"/>
  <c r="C39" i="29"/>
  <c r="E16" i="29"/>
  <c r="E18" i="29"/>
  <c r="J20" i="29"/>
  <c r="E23" i="29"/>
  <c r="J25" i="29"/>
  <c r="E28" i="29"/>
  <c r="E31" i="29"/>
  <c r="E34" i="29"/>
  <c r="E22" i="27"/>
  <c r="E30" i="27"/>
  <c r="E33" i="27"/>
  <c r="C38" i="27"/>
  <c r="E25" i="27"/>
  <c r="J30" i="27"/>
  <c r="J33" i="27"/>
  <c r="E16" i="27"/>
  <c r="J18" i="27"/>
  <c r="E21" i="27"/>
  <c r="J23" i="27"/>
  <c r="J16" i="27"/>
  <c r="E26" i="27"/>
  <c r="J28" i="27"/>
  <c r="J31" i="27"/>
  <c r="J34" i="27"/>
  <c r="E19" i="27"/>
  <c r="J21" i="27"/>
  <c r="E24" i="27"/>
  <c r="J26" i="27"/>
  <c r="E29" i="27"/>
  <c r="E32" i="27"/>
  <c r="E35" i="27"/>
  <c r="J24" i="27"/>
  <c r="E18" i="27"/>
  <c r="E17" i="27"/>
  <c r="J19" i="27"/>
  <c r="J29" i="27"/>
  <c r="J32" i="27"/>
  <c r="J35" i="27"/>
  <c r="J22" i="27"/>
  <c r="E20" i="27"/>
  <c r="J17" i="27"/>
  <c r="E27" i="27"/>
  <c r="J27" i="27"/>
  <c r="J20" i="27"/>
  <c r="C39" i="27"/>
  <c r="E23" i="27"/>
  <c r="J25" i="27"/>
  <c r="E28" i="27"/>
  <c r="E31" i="27"/>
  <c r="E34" i="27"/>
  <c r="P13" i="8"/>
  <c r="P12" i="8"/>
  <c r="P11" i="8"/>
  <c r="P10" i="8"/>
  <c r="P9" i="8"/>
  <c r="P8" i="8"/>
  <c r="P7" i="8"/>
  <c r="P6" i="8"/>
  <c r="H19" i="36" l="1"/>
  <c r="G19" i="36"/>
  <c r="F19" i="36"/>
  <c r="G12" i="35"/>
  <c r="G12" i="36"/>
  <c r="C12" i="35"/>
  <c r="C40" i="26"/>
  <c r="D28" i="26"/>
  <c r="D27" i="26"/>
  <c r="D26" i="26"/>
  <c r="D25" i="26"/>
  <c r="D24" i="26"/>
  <c r="D23" i="26"/>
  <c r="D22" i="26"/>
  <c r="D21" i="26"/>
  <c r="D20" i="26"/>
  <c r="D19" i="26"/>
  <c r="D18" i="26"/>
  <c r="D17" i="26"/>
  <c r="D16" i="26"/>
  <c r="C40" i="25"/>
  <c r="D28" i="25"/>
  <c r="D27" i="25"/>
  <c r="D26" i="25"/>
  <c r="D25" i="25"/>
  <c r="D24" i="25"/>
  <c r="D23" i="25"/>
  <c r="D22" i="25"/>
  <c r="D21" i="25"/>
  <c r="D20" i="25"/>
  <c r="D19" i="25"/>
  <c r="D18" i="25"/>
  <c r="D17" i="25"/>
  <c r="D16" i="25"/>
  <c r="C40" i="24"/>
  <c r="D28" i="24"/>
  <c r="D27" i="24"/>
  <c r="D26" i="24"/>
  <c r="D25" i="24"/>
  <c r="D24" i="24"/>
  <c r="D23" i="24"/>
  <c r="D22" i="24"/>
  <c r="D21" i="24"/>
  <c r="D20" i="24"/>
  <c r="D19" i="24"/>
  <c r="D18" i="24"/>
  <c r="D17" i="24"/>
  <c r="D16" i="24"/>
  <c r="C40" i="23"/>
  <c r="D28" i="23"/>
  <c r="D27" i="23"/>
  <c r="D26" i="23"/>
  <c r="D25" i="23"/>
  <c r="D24" i="23"/>
  <c r="D23" i="23"/>
  <c r="D22" i="23"/>
  <c r="D21" i="23"/>
  <c r="D20" i="23"/>
  <c r="D19" i="23"/>
  <c r="D18" i="23"/>
  <c r="D17" i="23"/>
  <c r="D16" i="23"/>
  <c r="C40" i="22"/>
  <c r="D28" i="22"/>
  <c r="D27" i="22"/>
  <c r="D26" i="22"/>
  <c r="D25" i="22"/>
  <c r="D24" i="22"/>
  <c r="D23" i="22"/>
  <c r="D22" i="22"/>
  <c r="D21" i="22"/>
  <c r="D20" i="22"/>
  <c r="D19" i="22"/>
  <c r="D18" i="22"/>
  <c r="D17" i="22"/>
  <c r="D16" i="22"/>
  <c r="D28" i="21"/>
  <c r="D27" i="21"/>
  <c r="D26" i="21"/>
  <c r="D25" i="21"/>
  <c r="D24" i="21"/>
  <c r="D23" i="21"/>
  <c r="D22" i="21"/>
  <c r="D21" i="21"/>
  <c r="D20" i="21"/>
  <c r="D19" i="21"/>
  <c r="D18" i="21"/>
  <c r="D17" i="21"/>
  <c r="D16" i="21"/>
  <c r="C40" i="20"/>
  <c r="D28" i="20"/>
  <c r="D27" i="20"/>
  <c r="D26" i="20"/>
  <c r="D25" i="20"/>
  <c r="D24" i="20"/>
  <c r="D23" i="20"/>
  <c r="D22" i="20"/>
  <c r="D21" i="20"/>
  <c r="D20" i="20"/>
  <c r="D19" i="20"/>
  <c r="D18" i="20"/>
  <c r="D17" i="20"/>
  <c r="D16" i="20"/>
  <c r="J33" i="24" a="1"/>
  <c r="J35" i="24" a="1"/>
  <c r="J21" i="21" a="1"/>
  <c r="J20" i="24" a="1"/>
  <c r="J30" i="20" a="1"/>
  <c r="C38" i="21" a="1"/>
  <c r="J28" i="25" a="1"/>
  <c r="J30" i="25" a="1"/>
  <c r="J21" i="24" a="1"/>
  <c r="J23" i="26" a="1"/>
  <c r="J31" i="22" a="1"/>
  <c r="J23" i="24" a="1"/>
  <c r="J17" i="25" a="1"/>
  <c r="J24" i="25" a="1"/>
  <c r="C38" i="25" a="1"/>
  <c r="J32" i="26" a="1"/>
  <c r="J34" i="26" a="1"/>
  <c r="J31" i="21" a="1"/>
  <c r="J32" i="25" a="1"/>
  <c r="J23" i="20" a="1"/>
  <c r="J34" i="22" a="1"/>
  <c r="C38" i="20" a="1"/>
  <c r="J18" i="24" a="1"/>
  <c r="J17" i="22" a="1"/>
  <c r="J18" i="25" a="1"/>
  <c r="J20" i="23" a="1"/>
  <c r="J21" i="22" a="1"/>
  <c r="J19" i="21" a="1"/>
  <c r="C38" i="26" a="1"/>
  <c r="J29" i="23" a="1"/>
  <c r="J33" i="23" a="1"/>
  <c r="J26" i="26" a="1"/>
  <c r="E35" i="22" a="1"/>
  <c r="J29" i="25" a="1"/>
  <c r="J20" i="21" a="1"/>
  <c r="J24" i="22" a="1"/>
  <c r="J31" i="20" a="1"/>
  <c r="J27" i="25" a="1"/>
  <c r="J29" i="22" a="1"/>
  <c r="J33" i="26" a="1"/>
  <c r="E33" i="22" a="1"/>
  <c r="E34" i="22" a="1"/>
  <c r="J24" i="21" a="1"/>
  <c r="J20" i="22" a="1"/>
  <c r="J28" i="21" a="1"/>
  <c r="E32" i="22" a="1"/>
  <c r="J25" i="22" a="1"/>
  <c r="J17" i="21" a="1"/>
  <c r="J28" i="20" a="1"/>
  <c r="E29" i="24" a="1"/>
  <c r="J27" i="22" a="1"/>
  <c r="J29" i="26" a="1"/>
  <c r="J26" i="22" a="1"/>
  <c r="J32" i="24" a="1"/>
  <c r="J22" i="25" a="1"/>
  <c r="J27" i="23" a="1"/>
  <c r="J21" i="23" a="1"/>
  <c r="J29" i="20" a="1"/>
  <c r="J35" i="26" a="1"/>
  <c r="J32" i="22" a="1"/>
  <c r="J18" i="21" a="1"/>
  <c r="J19" i="22" a="1"/>
  <c r="J35" i="25" a="1"/>
  <c r="J34" i="23" a="1"/>
  <c r="J25" i="23" a="1"/>
  <c r="J32" i="20" a="1"/>
  <c r="J16" i="25" a="1"/>
  <c r="J16" i="24" a="1"/>
  <c r="J33" i="25" a="1"/>
  <c r="J30" i="21" a="1"/>
  <c r="J27" i="24" a="1"/>
  <c r="J23" i="21" a="1"/>
  <c r="J32" i="23" a="1"/>
  <c r="J32" i="21" a="1"/>
  <c r="C38" i="22" a="1"/>
  <c r="J27" i="26" a="1"/>
  <c r="J22" i="22" a="1"/>
  <c r="E34" i="21" a="1"/>
  <c r="J30" i="23" a="1"/>
  <c r="C38" i="23" a="1"/>
  <c r="J19" i="24" a="1"/>
  <c r="E30" i="24" a="1"/>
  <c r="E34" i="24" a="1"/>
  <c r="J34" i="20" a="1"/>
  <c r="J26" i="20" a="1"/>
  <c r="J23" i="23" a="1"/>
  <c r="J17" i="24" a="1"/>
  <c r="J20" i="25" a="1"/>
  <c r="J16" i="22" a="1"/>
  <c r="J34" i="25" a="1"/>
  <c r="J33" i="21" a="1"/>
  <c r="J23" i="22" a="1"/>
  <c r="J28" i="22" a="1"/>
  <c r="J29" i="21" a="1"/>
  <c r="J25" i="21" a="1"/>
  <c r="J31" i="25" a="1"/>
  <c r="J16" i="21" a="1"/>
  <c r="J31" i="26" a="1"/>
  <c r="J25" i="20" a="1"/>
  <c r="J30" i="24" a="1"/>
  <c r="C38" i="24" a="1"/>
  <c r="J30" i="22" a="1"/>
  <c r="J26" i="24" a="1"/>
  <c r="J31" i="24" a="1"/>
  <c r="J34" i="21" a="1"/>
  <c r="J26" i="21" a="1"/>
  <c r="E33" i="24" a="1"/>
  <c r="J35" i="20" a="1"/>
  <c r="J34" i="24" a="1"/>
  <c r="J29" i="24" a="1"/>
  <c r="J30" i="26" a="1"/>
  <c r="J23" i="25" a="1"/>
  <c r="J31" i="23" a="1"/>
  <c r="J33" i="22" a="1"/>
  <c r="J19" i="25" a="1"/>
  <c r="J28" i="23" a="1"/>
  <c r="J24" i="24" a="1"/>
  <c r="E31" i="24" a="1"/>
  <c r="J22" i="23" a="1"/>
  <c r="J27" i="20" a="1"/>
  <c r="J22" i="21" a="1"/>
  <c r="E32" i="24" a="1"/>
  <c r="E35" i="24" a="1"/>
  <c r="J26" i="25" a="1"/>
  <c r="J28" i="26" a="1"/>
  <c r="J22" i="24" a="1"/>
  <c r="J25" i="25" a="1"/>
  <c r="J25" i="24" a="1"/>
  <c r="J27" i="21" a="1"/>
  <c r="J35" i="21" a="1"/>
  <c r="J26" i="23" a="1"/>
  <c r="J24" i="20" a="1"/>
  <c r="J28" i="24" a="1"/>
  <c r="J24" i="26" a="1"/>
  <c r="J25" i="26" a="1"/>
  <c r="J18" i="22" a="1"/>
  <c r="J35" i="23" a="1"/>
  <c r="E35" i="21" a="1"/>
  <c r="J21" i="25" a="1"/>
  <c r="J35" i="22" a="1"/>
  <c r="J33" i="20" a="1"/>
  <c r="J24" i="23" a="1"/>
  <c r="E32" i="25" a="1"/>
  <c r="E18" i="20" a="1"/>
  <c r="J17" i="23" a="1"/>
  <c r="E29" i="25" a="1"/>
  <c r="E22" i="21" a="1"/>
  <c r="E35" i="23" a="1"/>
  <c r="E26" i="21" a="1"/>
  <c r="E25" i="20" a="1"/>
  <c r="E22" i="26" a="1"/>
  <c r="E29" i="21" a="1"/>
  <c r="E32" i="20" a="1"/>
  <c r="J16" i="20" a="1"/>
  <c r="E20" i="23" a="1"/>
  <c r="E35" i="20" a="1"/>
  <c r="E22" i="24" a="1"/>
  <c r="J19" i="26" a="1"/>
  <c r="J18" i="26" a="1"/>
  <c r="E30" i="26" a="1"/>
  <c r="E33" i="23" a="1"/>
  <c r="E18" i="22" a="1"/>
  <c r="E19" i="21" a="1"/>
  <c r="E24" i="22" a="1"/>
  <c r="E24" i="20" a="1"/>
  <c r="E22" i="22" a="1"/>
  <c r="E32" i="26" a="1"/>
  <c r="E16" i="23" a="1"/>
  <c r="E26" i="26" a="1"/>
  <c r="E31" i="25" a="1"/>
  <c r="E28" i="20" a="1"/>
  <c r="E18" i="23" a="1"/>
  <c r="E21" i="26" a="1"/>
  <c r="J19" i="20" a="1"/>
  <c r="E24" i="26" a="1"/>
  <c r="E21" i="21" a="1"/>
  <c r="E33" i="25" a="1"/>
  <c r="E17" i="24" a="1"/>
  <c r="E29" i="23" a="1"/>
  <c r="E19" i="22" a="1"/>
  <c r="E25" i="26" a="1"/>
  <c r="E16" i="22" a="1"/>
  <c r="J22" i="20" a="1"/>
  <c r="E28" i="22" a="1"/>
  <c r="E17" i="23" a="1"/>
  <c r="E16" i="26" a="1"/>
  <c r="E26" i="24" a="1"/>
  <c r="C39" i="20" a="1"/>
  <c r="C39" i="22" a="1"/>
  <c r="E21" i="23" a="1"/>
  <c r="E23" i="20" a="1"/>
  <c r="E19" i="23" a="1"/>
  <c r="E22" i="23" a="1"/>
  <c r="E20" i="26" a="1"/>
  <c r="E31" i="20" a="1"/>
  <c r="E34" i="25" a="1"/>
  <c r="E24" i="21" a="1"/>
  <c r="E18" i="21" a="1"/>
  <c r="J17" i="20" a="1"/>
  <c r="J22" i="26" a="1"/>
  <c r="E20" i="25" a="1"/>
  <c r="E18" i="26" a="1"/>
  <c r="E34" i="20" a="1"/>
  <c r="E25" i="23" a="1"/>
  <c r="E31" i="23" a="1"/>
  <c r="E26" i="22" a="1"/>
  <c r="E17" i="26" a="1"/>
  <c r="E26" i="23" a="1"/>
  <c r="J21" i="26" a="1"/>
  <c r="E16" i="20" a="1"/>
  <c r="E28" i="26" a="1"/>
  <c r="J18" i="23" a="1"/>
  <c r="E16" i="25" a="1"/>
  <c r="E20" i="24" a="1"/>
  <c r="E19" i="20" a="1"/>
  <c r="C39" i="24" a="1"/>
  <c r="C39" i="23" a="1"/>
  <c r="E35" i="26" a="1"/>
  <c r="E22" i="20" a="1"/>
  <c r="E29" i="26" a="1"/>
  <c r="E17" i="22" a="1"/>
  <c r="E30" i="25" a="1"/>
  <c r="E25" i="22" a="1"/>
  <c r="E30" i="20" a="1"/>
  <c r="E19" i="25" a="1"/>
  <c r="E22" i="25" a="1"/>
  <c r="E18" i="25" a="1"/>
  <c r="E29" i="20" a="1"/>
  <c r="E23" i="22" a="1"/>
  <c r="C39" i="21" a="1"/>
  <c r="E23" i="23" a="1"/>
  <c r="E19" i="26" a="1"/>
  <c r="E21" i="24" a="1"/>
  <c r="E28" i="25" a="1"/>
  <c r="E20" i="22" a="1"/>
  <c r="E18" i="24" a="1"/>
  <c r="E27" i="26" a="1"/>
  <c r="E17" i="20" a="1"/>
  <c r="C39" i="25" a="1"/>
  <c r="E26" i="20" a="1"/>
  <c r="E21" i="20" a="1"/>
  <c r="J19" i="23" a="1"/>
  <c r="E34" i="23" a="1"/>
  <c r="E16" i="21" a="1"/>
  <c r="E24" i="23" a="1"/>
  <c r="J16" i="26" a="1"/>
  <c r="E34" i="26" a="1"/>
  <c r="E23" i="25" a="1"/>
  <c r="E26" i="25" a="1"/>
  <c r="E17" i="21" a="1"/>
  <c r="E30" i="23" a="1"/>
  <c r="E29" i="22" a="1"/>
  <c r="E20" i="20" a="1"/>
  <c r="E33" i="20" a="1"/>
  <c r="E27" i="25" a="1"/>
  <c r="E27" i="21" a="1"/>
  <c r="E33" i="26" a="1"/>
  <c r="E31" i="22" a="1"/>
  <c r="E25" i="24" a="1"/>
  <c r="E27" i="23" a="1"/>
  <c r="E27" i="24" a="1"/>
  <c r="J21" i="20" a="1"/>
  <c r="E28" i="24" a="1"/>
  <c r="E32" i="21" a="1"/>
  <c r="E16" i="24" a="1"/>
  <c r="E31" i="26" a="1"/>
  <c r="E30" i="22" a="1"/>
  <c r="E28" i="21" a="1"/>
  <c r="J18" i="20" a="1"/>
  <c r="E23" i="26" a="1"/>
  <c r="E35" i="25" a="1"/>
  <c r="E25" i="25" a="1"/>
  <c r="C39" i="26" a="1"/>
  <c r="E25" i="21" a="1"/>
  <c r="E23" i="21" a="1"/>
  <c r="E17" i="25" a="1"/>
  <c r="E21" i="25" a="1"/>
  <c r="E27" i="22" a="1"/>
  <c r="E24" i="24" a="1"/>
  <c r="E32" i="23" a="1"/>
  <c r="E19" i="24" a="1"/>
  <c r="E28" i="23" a="1"/>
  <c r="E20" i="21" a="1"/>
  <c r="E21" i="22" a="1"/>
  <c r="E23" i="24" a="1"/>
  <c r="E33" i="21" a="1"/>
  <c r="E24" i="25" a="1"/>
  <c r="E30" i="21" a="1"/>
  <c r="J17" i="26" a="1"/>
  <c r="J16" i="23" a="1"/>
  <c r="J20" i="20" a="1"/>
  <c r="E27" i="20" a="1"/>
  <c r="J20" i="26" a="1"/>
  <c r="E31" i="21" a="1"/>
  <c r="E21" i="26" l="1"/>
  <c r="J23" i="26"/>
  <c r="J20" i="26"/>
  <c r="J18" i="26"/>
  <c r="J16" i="26"/>
  <c r="E26" i="26"/>
  <c r="J28" i="26"/>
  <c r="J31" i="26"/>
  <c r="J34" i="26"/>
  <c r="E18" i="26"/>
  <c r="E24" i="26"/>
  <c r="E29" i="26"/>
  <c r="E32" i="26"/>
  <c r="E35" i="26"/>
  <c r="E17" i="26"/>
  <c r="J19" i="26"/>
  <c r="J26" i="26"/>
  <c r="E22" i="26"/>
  <c r="J24" i="26"/>
  <c r="J29" i="26"/>
  <c r="J32" i="26"/>
  <c r="J35" i="26"/>
  <c r="J17" i="26"/>
  <c r="E27" i="26"/>
  <c r="E19" i="26"/>
  <c r="J21" i="26"/>
  <c r="E20" i="26"/>
  <c r="J22" i="26"/>
  <c r="E30" i="26"/>
  <c r="E33" i="26"/>
  <c r="C38" i="26"/>
  <c r="O13" i="8" s="1"/>
  <c r="E25" i="26"/>
  <c r="J27" i="26"/>
  <c r="J30" i="26"/>
  <c r="J33" i="26"/>
  <c r="C39" i="26"/>
  <c r="E23" i="26"/>
  <c r="J25" i="26"/>
  <c r="E16" i="26"/>
  <c r="E28" i="26"/>
  <c r="E31" i="26"/>
  <c r="E34" i="26"/>
  <c r="J30" i="25"/>
  <c r="E28" i="25"/>
  <c r="E31" i="25"/>
  <c r="E34" i="25"/>
  <c r="E21" i="25"/>
  <c r="J23" i="25"/>
  <c r="J16" i="25"/>
  <c r="E26" i="25"/>
  <c r="J28" i="25"/>
  <c r="J31" i="25"/>
  <c r="J34" i="25"/>
  <c r="E18" i="25"/>
  <c r="E16" i="25"/>
  <c r="J18" i="25"/>
  <c r="E24" i="25"/>
  <c r="J26" i="25"/>
  <c r="E29" i="25"/>
  <c r="E32" i="25"/>
  <c r="E35" i="25"/>
  <c r="J33" i="25"/>
  <c r="E23" i="25"/>
  <c r="J25" i="25"/>
  <c r="E19" i="25"/>
  <c r="J21" i="25"/>
  <c r="E17" i="25"/>
  <c r="J19" i="25"/>
  <c r="J29" i="25"/>
  <c r="J35" i="25"/>
  <c r="J17" i="25"/>
  <c r="E27" i="25"/>
  <c r="E22" i="25"/>
  <c r="J24" i="25"/>
  <c r="J32" i="25"/>
  <c r="E20" i="25"/>
  <c r="J22" i="25"/>
  <c r="E30" i="25"/>
  <c r="E33" i="25"/>
  <c r="C38" i="25"/>
  <c r="O12" i="8" s="1"/>
  <c r="J27" i="25"/>
  <c r="E25" i="25"/>
  <c r="J20" i="25"/>
  <c r="C39" i="25"/>
  <c r="E21" i="24"/>
  <c r="J23" i="24"/>
  <c r="E26" i="24"/>
  <c r="J28" i="24"/>
  <c r="J34" i="24"/>
  <c r="E19" i="24"/>
  <c r="J21" i="24"/>
  <c r="E18" i="24"/>
  <c r="J16" i="24"/>
  <c r="J31" i="24"/>
  <c r="E24" i="24"/>
  <c r="J26" i="24"/>
  <c r="E29" i="24"/>
  <c r="E32" i="24"/>
  <c r="E35" i="24"/>
  <c r="E17" i="24"/>
  <c r="J19" i="24"/>
  <c r="E16" i="24"/>
  <c r="J29" i="24"/>
  <c r="J35" i="24"/>
  <c r="J17" i="24"/>
  <c r="E27" i="24"/>
  <c r="J20" i="24"/>
  <c r="J24" i="24"/>
  <c r="J32" i="24"/>
  <c r="E20" i="24"/>
  <c r="J22" i="24"/>
  <c r="E30" i="24"/>
  <c r="E33" i="24"/>
  <c r="C38" i="24"/>
  <c r="O11" i="8" s="1"/>
  <c r="E22" i="24"/>
  <c r="E25" i="24"/>
  <c r="J27" i="24"/>
  <c r="J30" i="24"/>
  <c r="J33" i="24"/>
  <c r="C39" i="24"/>
  <c r="E23" i="24"/>
  <c r="J25" i="24"/>
  <c r="J18" i="24"/>
  <c r="E28" i="24"/>
  <c r="E31" i="24"/>
  <c r="E34" i="24"/>
  <c r="J32" i="23"/>
  <c r="E27" i="23"/>
  <c r="E30" i="23"/>
  <c r="E33" i="23"/>
  <c r="E21" i="23"/>
  <c r="J23" i="23"/>
  <c r="J16" i="23"/>
  <c r="J28" i="23"/>
  <c r="J34" i="23"/>
  <c r="E19" i="23"/>
  <c r="J21" i="23"/>
  <c r="E22" i="23"/>
  <c r="J17" i="23"/>
  <c r="E20" i="23"/>
  <c r="C38" i="23"/>
  <c r="O8" i="8" s="1"/>
  <c r="E16" i="23"/>
  <c r="E28" i="23"/>
  <c r="E31" i="23"/>
  <c r="E34" i="23"/>
  <c r="E26" i="23"/>
  <c r="J31" i="23"/>
  <c r="E24" i="23"/>
  <c r="J26" i="23"/>
  <c r="E29" i="23"/>
  <c r="E32" i="23"/>
  <c r="E35" i="23"/>
  <c r="J18" i="23"/>
  <c r="E17" i="23"/>
  <c r="J19" i="23"/>
  <c r="J35" i="23"/>
  <c r="E25" i="23"/>
  <c r="J24" i="23"/>
  <c r="E18" i="23"/>
  <c r="J30" i="23"/>
  <c r="J33" i="23"/>
  <c r="C39" i="23"/>
  <c r="J29" i="23"/>
  <c r="J22" i="23"/>
  <c r="J27" i="23"/>
  <c r="J20" i="23"/>
  <c r="E23" i="23"/>
  <c r="J25" i="23"/>
  <c r="E25" i="22"/>
  <c r="E18" i="22"/>
  <c r="C39" i="22"/>
  <c r="J34" i="22"/>
  <c r="J30" i="22"/>
  <c r="J33" i="22"/>
  <c r="E28" i="22"/>
  <c r="E31" i="22"/>
  <c r="E34" i="22"/>
  <c r="E26" i="22"/>
  <c r="E24" i="22"/>
  <c r="J26" i="22"/>
  <c r="E29" i="22"/>
  <c r="E32" i="22"/>
  <c r="E35" i="22"/>
  <c r="E23" i="22"/>
  <c r="J18" i="22"/>
  <c r="J23" i="22"/>
  <c r="J28" i="22"/>
  <c r="J21" i="22"/>
  <c r="E17" i="22"/>
  <c r="J19" i="22"/>
  <c r="J20" i="22"/>
  <c r="J25" i="22"/>
  <c r="E16" i="22"/>
  <c r="E21" i="22"/>
  <c r="J16" i="22"/>
  <c r="J31" i="22"/>
  <c r="E19" i="22"/>
  <c r="E22" i="22"/>
  <c r="J24" i="22"/>
  <c r="J29" i="22"/>
  <c r="J32" i="22"/>
  <c r="J35" i="22"/>
  <c r="J27" i="22"/>
  <c r="J17" i="22"/>
  <c r="E27" i="22"/>
  <c r="E20" i="22"/>
  <c r="J22" i="22"/>
  <c r="E30" i="22"/>
  <c r="E33" i="22"/>
  <c r="C38" i="22"/>
  <c r="O9" i="8" s="1"/>
  <c r="E17" i="21"/>
  <c r="J19" i="21"/>
  <c r="J24" i="21"/>
  <c r="E27" i="21"/>
  <c r="J22" i="21"/>
  <c r="J27" i="21"/>
  <c r="E28" i="21"/>
  <c r="E34" i="21"/>
  <c r="J16" i="21"/>
  <c r="E26" i="21"/>
  <c r="J28" i="21"/>
  <c r="J31" i="21"/>
  <c r="J34" i="21"/>
  <c r="J32" i="21"/>
  <c r="E20" i="21"/>
  <c r="E30" i="21"/>
  <c r="E25" i="21"/>
  <c r="E23" i="21"/>
  <c r="E16" i="21"/>
  <c r="J18" i="21"/>
  <c r="E31" i="21"/>
  <c r="E21" i="21"/>
  <c r="J23" i="21"/>
  <c r="E19" i="21"/>
  <c r="J21" i="21"/>
  <c r="J17" i="21"/>
  <c r="E24" i="21"/>
  <c r="J26" i="21"/>
  <c r="E29" i="21"/>
  <c r="E32" i="21"/>
  <c r="E35" i="21"/>
  <c r="E22" i="21"/>
  <c r="J29" i="21"/>
  <c r="J35" i="21"/>
  <c r="J30" i="21"/>
  <c r="J33" i="21"/>
  <c r="C39" i="21"/>
  <c r="E18" i="21"/>
  <c r="J20" i="21"/>
  <c r="J25" i="21"/>
  <c r="E33" i="21"/>
  <c r="C38" i="21"/>
  <c r="O7" i="8" s="1"/>
  <c r="J32" i="20"/>
  <c r="J17" i="20"/>
  <c r="J22" i="20"/>
  <c r="E30" i="20"/>
  <c r="E25" i="20"/>
  <c r="E18" i="20"/>
  <c r="E23" i="20"/>
  <c r="J25" i="20"/>
  <c r="E31" i="20"/>
  <c r="J16" i="20"/>
  <c r="E26" i="20"/>
  <c r="J34" i="20"/>
  <c r="J21" i="20"/>
  <c r="E20" i="20"/>
  <c r="E33" i="20"/>
  <c r="J30" i="20"/>
  <c r="J33" i="20"/>
  <c r="E16" i="20"/>
  <c r="J18" i="20"/>
  <c r="E34" i="20"/>
  <c r="J28" i="20"/>
  <c r="J31" i="20"/>
  <c r="E19" i="20"/>
  <c r="E24" i="20"/>
  <c r="J26" i="20"/>
  <c r="E29" i="20"/>
  <c r="E32" i="20"/>
  <c r="E35" i="20"/>
  <c r="E21" i="20"/>
  <c r="J23" i="20"/>
  <c r="E17" i="20"/>
  <c r="J19" i="20"/>
  <c r="J35" i="20"/>
  <c r="E27" i="20"/>
  <c r="J24" i="20"/>
  <c r="C38" i="20"/>
  <c r="O10" i="8" s="1"/>
  <c r="J27" i="20"/>
  <c r="J29" i="20"/>
  <c r="C39" i="20"/>
  <c r="J20" i="20"/>
  <c r="E22" i="20"/>
  <c r="E28" i="20"/>
  <c r="D28" i="5"/>
  <c r="D27" i="5"/>
  <c r="D26" i="5"/>
  <c r="E54" i="19"/>
  <c r="E49" i="19"/>
  <c r="E40" i="19"/>
  <c r="D40" i="19"/>
  <c r="C40" i="19"/>
  <c r="D110" i="19"/>
  <c r="D91" i="19"/>
  <c r="C40" i="16"/>
  <c r="C40" i="17"/>
  <c r="C40" i="18"/>
  <c r="C40" i="5"/>
  <c r="C40" i="3"/>
  <c r="C40" i="1"/>
  <c r="D3" i="8"/>
  <c r="N24" i="8"/>
  <c r="I5" i="8"/>
  <c r="N23" i="8" s="1"/>
  <c r="I4" i="8"/>
  <c r="N22" i="8" s="1"/>
  <c r="D25" i="18"/>
  <c r="D24" i="18"/>
  <c r="D23" i="18"/>
  <c r="D22" i="18"/>
  <c r="D21" i="18"/>
  <c r="D20" i="18"/>
  <c r="D19" i="18"/>
  <c r="D18" i="18"/>
  <c r="D17" i="18"/>
  <c r="D16" i="18"/>
  <c r="D35" i="17"/>
  <c r="D34" i="17"/>
  <c r="D33" i="17"/>
  <c r="D32" i="17"/>
  <c r="D31" i="17"/>
  <c r="D30" i="17"/>
  <c r="D29" i="17"/>
  <c r="D28" i="17"/>
  <c r="D27" i="17"/>
  <c r="D26" i="17"/>
  <c r="D25" i="17"/>
  <c r="D24" i="17"/>
  <c r="D23" i="17"/>
  <c r="D22" i="17"/>
  <c r="I21" i="17"/>
  <c r="D21" i="17"/>
  <c r="I20" i="17"/>
  <c r="D20" i="17"/>
  <c r="I19" i="17"/>
  <c r="D19" i="17"/>
  <c r="I18" i="17"/>
  <c r="D18" i="17"/>
  <c r="I17" i="17"/>
  <c r="D17" i="17"/>
  <c r="I16" i="17"/>
  <c r="D16" i="17"/>
  <c r="D28" i="16"/>
  <c r="D27" i="16"/>
  <c r="D26" i="16"/>
  <c r="D25" i="16"/>
  <c r="D24" i="16"/>
  <c r="D23" i="16"/>
  <c r="D22" i="16"/>
  <c r="D21" i="16"/>
  <c r="D20" i="16"/>
  <c r="D19" i="16"/>
  <c r="D18" i="16"/>
  <c r="D17" i="16"/>
  <c r="D16" i="16"/>
  <c r="Q24" i="8"/>
  <c r="N5" i="8"/>
  <c r="Q23" i="8" s="1"/>
  <c r="N4" i="8"/>
  <c r="Q22" i="8" s="1"/>
  <c r="L6" i="8"/>
  <c r="H6" i="8" s="1"/>
  <c r="L5" i="8"/>
  <c r="H5" i="8" s="1"/>
  <c r="H4" i="8"/>
  <c r="K6" i="8"/>
  <c r="K4" i="8"/>
  <c r="I17" i="3"/>
  <c r="I18" i="3"/>
  <c r="I19" i="3"/>
  <c r="I20" i="3"/>
  <c r="I21" i="3"/>
  <c r="I16" i="3"/>
  <c r="D26" i="3"/>
  <c r="D27" i="3"/>
  <c r="D28" i="3"/>
  <c r="D29" i="3"/>
  <c r="D30" i="3"/>
  <c r="D31" i="3"/>
  <c r="D32" i="3"/>
  <c r="D33" i="3"/>
  <c r="D34" i="3"/>
  <c r="D35" i="3"/>
  <c r="D25" i="3"/>
  <c r="D24" i="3"/>
  <c r="D23" i="3"/>
  <c r="D22" i="3"/>
  <c r="D21" i="3"/>
  <c r="D20" i="3"/>
  <c r="D19" i="3"/>
  <c r="D18" i="3"/>
  <c r="D17" i="3"/>
  <c r="D16" i="3"/>
  <c r="D25" i="5"/>
  <c r="D24" i="5"/>
  <c r="D23" i="5"/>
  <c r="D22" i="5"/>
  <c r="D21" i="5"/>
  <c r="D20" i="5"/>
  <c r="D19" i="5"/>
  <c r="D18" i="5"/>
  <c r="D17" i="5"/>
  <c r="D16" i="5"/>
  <c r="J29" i="18" a="1"/>
  <c r="J32" i="3" a="1"/>
  <c r="J28" i="17" a="1"/>
  <c r="J25" i="16" a="1"/>
  <c r="E26" i="1" a="1"/>
  <c r="J33" i="18" a="1"/>
  <c r="J30" i="16" a="1"/>
  <c r="J25" i="3" a="1"/>
  <c r="J20" i="18" a="1"/>
  <c r="J35" i="18" a="1"/>
  <c r="J17" i="18" a="1"/>
  <c r="J26" i="18" a="1"/>
  <c r="E31" i="1" a="1"/>
  <c r="J16" i="18" a="1"/>
  <c r="J27" i="3" a="1"/>
  <c r="J23" i="16" a="1"/>
  <c r="E33" i="1" a="1"/>
  <c r="J24" i="16" a="1"/>
  <c r="J30" i="3" a="1"/>
  <c r="J24" i="17" a="1"/>
  <c r="P4" i="8" a="1"/>
  <c r="J35" i="16" a="1"/>
  <c r="J22" i="3" a="1"/>
  <c r="J21" i="16" a="1"/>
  <c r="J34" i="18" a="1"/>
  <c r="E23" i="1" a="1"/>
  <c r="J17" i="16" a="1"/>
  <c r="J16" i="16" a="1"/>
  <c r="J29" i="16" a="1"/>
  <c r="E20" i="1" a="1"/>
  <c r="E35" i="16" a="1"/>
  <c r="J32" i="17" a="1"/>
  <c r="J22" i="16" a="1"/>
  <c r="J18" i="16" a="1"/>
  <c r="J23" i="17" a="1"/>
  <c r="E29" i="1" a="1"/>
  <c r="J24" i="3" a="1"/>
  <c r="E19" i="1" a="1"/>
  <c r="E30" i="1" a="1"/>
  <c r="E27" i="1" a="1"/>
  <c r="J31" i="16" a="1"/>
  <c r="E34" i="1" a="1"/>
  <c r="J35" i="17" a="1"/>
  <c r="D49" i="19" a="1"/>
  <c r="J33" i="16" a="1"/>
  <c r="E26" i="18" a="1"/>
  <c r="E32" i="1" a="1"/>
  <c r="E28" i="18" a="1"/>
  <c r="E24" i="1" a="1"/>
  <c r="E28" i="1" a="1"/>
  <c r="E30" i="18" a="1"/>
  <c r="J34" i="3" a="1"/>
  <c r="E34" i="16" a="1"/>
  <c r="J27" i="16" a="1"/>
  <c r="J32" i="18" a="1"/>
  <c r="J30" i="17" a="1"/>
  <c r="J30" i="18" a="1"/>
  <c r="E32" i="16" a="1"/>
  <c r="C38" i="1" a="1"/>
  <c r="P5" i="8" a="1"/>
  <c r="J28" i="18" a="1"/>
  <c r="C38" i="5" a="1"/>
  <c r="J32" i="16" a="1"/>
  <c r="J27" i="18" a="1"/>
  <c r="J22" i="17" a="1"/>
  <c r="E35" i="1" a="1"/>
  <c r="J28" i="3" a="1"/>
  <c r="E33" i="16" a="1"/>
  <c r="J35" i="3" a="1"/>
  <c r="E17" i="1" a="1"/>
  <c r="J24" i="18" a="1"/>
  <c r="E32" i="18" a="1"/>
  <c r="E25" i="1" a="1"/>
  <c r="E30" i="16" a="1"/>
  <c r="E31" i="16" a="1"/>
  <c r="E34" i="18" a="1"/>
  <c r="J29" i="17" a="1"/>
  <c r="E27" i="18" a="1"/>
  <c r="J25" i="17" a="1"/>
  <c r="C91" i="19" a="1"/>
  <c r="J27" i="17" a="1"/>
  <c r="C38" i="18" a="1"/>
  <c r="J31" i="3" a="1"/>
  <c r="J16" i="1" a="1"/>
  <c r="C38" i="17" a="1"/>
  <c r="J20" i="16" a="1"/>
  <c r="J26" i="3" a="1"/>
  <c r="J21" i="18" a="1"/>
  <c r="J23" i="18" a="1"/>
  <c r="E35" i="18" a="1"/>
  <c r="J19" i="16" a="1"/>
  <c r="J22" i="18" a="1"/>
  <c r="J31" i="18" a="1"/>
  <c r="J18" i="18" a="1"/>
  <c r="J26" i="16" a="1"/>
  <c r="J26" i="17" a="1"/>
  <c r="E22" i="1" a="1"/>
  <c r="E29" i="18" a="1"/>
  <c r="J28" i="16" a="1"/>
  <c r="J19" i="18" a="1"/>
  <c r="J34" i="16" a="1"/>
  <c r="J29" i="3" a="1"/>
  <c r="E16" i="1" a="1"/>
  <c r="J34" i="17" a="1"/>
  <c r="E31" i="18" a="1"/>
  <c r="C38" i="16" a="1"/>
  <c r="E18" i="1" a="1"/>
  <c r="E21" i="1" a="1"/>
  <c r="D54" i="19" a="1"/>
  <c r="J31" i="17" a="1"/>
  <c r="J33" i="17" a="1"/>
  <c r="E29" i="16" a="1"/>
  <c r="J25" i="18" a="1"/>
  <c r="E33" i="18" a="1"/>
  <c r="J33" i="3" a="1"/>
  <c r="C110" i="19" a="1"/>
  <c r="J23" i="3" a="1"/>
  <c r="J18" i="1" a="1"/>
  <c r="J16" i="17" a="1"/>
  <c r="E21" i="17" a="1"/>
  <c r="E20" i="16" a="1"/>
  <c r="J35" i="1" a="1"/>
  <c r="C39" i="16" a="1"/>
  <c r="E34" i="5" a="1"/>
  <c r="E29" i="3" a="1"/>
  <c r="E34" i="3" a="1"/>
  <c r="J21" i="17" a="1"/>
  <c r="E19" i="16" a="1"/>
  <c r="J17" i="3" a="1"/>
  <c r="J27" i="1" a="1"/>
  <c r="J18" i="5" a="1"/>
  <c r="E24" i="3" a="1"/>
  <c r="E22" i="3" a="1"/>
  <c r="E24" i="5" a="1"/>
  <c r="E30" i="5" a="1"/>
  <c r="E25" i="5" a="1"/>
  <c r="J19" i="3" a="1"/>
  <c r="E23" i="17" a="1"/>
  <c r="E30" i="17" a="1"/>
  <c r="J23" i="1" a="1"/>
  <c r="J23" i="5" a="1"/>
  <c r="E17" i="5" a="1"/>
  <c r="J21" i="1" a="1"/>
  <c r="E28" i="5" a="1"/>
  <c r="E25" i="3" a="1"/>
  <c r="E17" i="18" a="1"/>
  <c r="C39" i="18" a="1"/>
  <c r="E24" i="18" a="1"/>
  <c r="E22" i="18" a="1"/>
  <c r="E16" i="3" a="1"/>
  <c r="E31" i="17" a="1"/>
  <c r="J18" i="3" a="1"/>
  <c r="J33" i="1" a="1"/>
  <c r="E20" i="3" a="1"/>
  <c r="E17" i="3" a="1"/>
  <c r="J19" i="5" a="1"/>
  <c r="J29" i="1" a="1"/>
  <c r="J20" i="3" a="1"/>
  <c r="J19" i="1" a="1"/>
  <c r="E28" i="16" a="1"/>
  <c r="E17" i="16" a="1"/>
  <c r="J24" i="5" a="1"/>
  <c r="E29" i="5" a="1"/>
  <c r="E18" i="5" a="1"/>
  <c r="J24" i="1" a="1"/>
  <c r="E25" i="18" a="1"/>
  <c r="E18" i="18" a="1"/>
  <c r="E20" i="17" a="1"/>
  <c r="E27" i="17" a="1"/>
  <c r="J16" i="3" a="1"/>
  <c r="E33" i="17" a="1"/>
  <c r="E29" i="17" a="1"/>
  <c r="J22" i="1" a="1"/>
  <c r="J22" i="5" a="1"/>
  <c r="E27" i="3" a="1"/>
  <c r="J26" i="5" a="1"/>
  <c r="J33" i="5" a="1"/>
  <c r="C39" i="3" a="1"/>
  <c r="J17" i="17" a="1"/>
  <c r="E22" i="16" a="1"/>
  <c r="J20" i="5" a="1"/>
  <c r="E22" i="5" a="1"/>
  <c r="E23" i="5" a="1"/>
  <c r="J25" i="1" a="1"/>
  <c r="J30" i="1" a="1"/>
  <c r="E32" i="5" a="1"/>
  <c r="E26" i="3" a="1"/>
  <c r="E18" i="17" a="1"/>
  <c r="J21" i="5" a="1"/>
  <c r="E35" i="3" a="1"/>
  <c r="E33" i="5" a="1"/>
  <c r="J16" i="5" a="1"/>
  <c r="E32" i="17" a="1"/>
  <c r="E19" i="18" a="1"/>
  <c r="E24" i="16" a="1"/>
  <c r="E18" i="16" a="1"/>
  <c r="E21" i="18" a="1"/>
  <c r="E30" i="3" a="1"/>
  <c r="J32" i="5" a="1"/>
  <c r="J34" i="1" a="1"/>
  <c r="E35" i="17" a="1"/>
  <c r="E16" i="16" a="1"/>
  <c r="E28" i="17" a="1"/>
  <c r="E24" i="17" a="1"/>
  <c r="E23" i="18" a="1"/>
  <c r="J17" i="5" a="1"/>
  <c r="C39" i="5" a="1"/>
  <c r="E31" i="5" a="1"/>
  <c r="E17" i="17" a="1"/>
  <c r="C39" i="17" a="1"/>
  <c r="E19" i="5" a="1"/>
  <c r="E28" i="3" a="1"/>
  <c r="J20" i="1" a="1"/>
  <c r="E16" i="17" a="1"/>
  <c r="E18" i="3" a="1"/>
  <c r="E33" i="3" a="1"/>
  <c r="E23" i="3" a="1"/>
  <c r="E27" i="5" a="1"/>
  <c r="E16" i="5" a="1"/>
  <c r="E19" i="3" a="1"/>
  <c r="E34" i="17" a="1"/>
  <c r="E23" i="16" a="1"/>
  <c r="E25" i="17" a="1"/>
  <c r="E19" i="17" a="1"/>
  <c r="E22" i="17" a="1"/>
  <c r="E21" i="3" a="1"/>
  <c r="J35" i="5" a="1"/>
  <c r="J30" i="5" a="1"/>
  <c r="J28" i="1" a="1"/>
  <c r="J31" i="5" a="1"/>
  <c r="J27" i="5" a="1"/>
  <c r="E20" i="18" a="1"/>
  <c r="E27" i="16" a="1"/>
  <c r="J28" i="5" a="1"/>
  <c r="J32" i="1" a="1"/>
  <c r="J26" i="1" a="1"/>
  <c r="E35" i="5" a="1"/>
  <c r="E21" i="5" a="1"/>
  <c r="J31" i="1" a="1"/>
  <c r="J18" i="17" a="1"/>
  <c r="J29" i="5" a="1"/>
  <c r="J25" i="5" a="1"/>
  <c r="E20" i="5" a="1"/>
  <c r="E26" i="17" a="1"/>
  <c r="E25" i="16" a="1"/>
  <c r="J19" i="17" a="1"/>
  <c r="E31" i="3" a="1"/>
  <c r="J20" i="17" a="1"/>
  <c r="E26" i="5" a="1"/>
  <c r="J34" i="5" a="1"/>
  <c r="J21" i="3" a="1"/>
  <c r="E32" i="3" a="1"/>
  <c r="E16" i="18" a="1"/>
  <c r="E26" i="16" a="1"/>
  <c r="E21" i="16" a="1"/>
  <c r="J17" i="1" a="1"/>
  <c r="J33" i="3" l="1"/>
  <c r="E34" i="5"/>
  <c r="J22" i="5"/>
  <c r="J31" i="5"/>
  <c r="J24" i="5"/>
  <c r="E32" i="18"/>
  <c r="J22" i="18"/>
  <c r="J26" i="18"/>
  <c r="J28" i="17"/>
  <c r="J30" i="17"/>
  <c r="E31" i="16"/>
  <c r="J21" i="16"/>
  <c r="J25" i="16"/>
  <c r="J34" i="3"/>
  <c r="J31" i="3"/>
  <c r="E31" i="5"/>
  <c r="J33" i="5"/>
  <c r="J25" i="5"/>
  <c r="E35" i="18"/>
  <c r="E26" i="18"/>
  <c r="J23" i="18"/>
  <c r="J31" i="18"/>
  <c r="J22" i="17"/>
  <c r="J24" i="17"/>
  <c r="E30" i="16"/>
  <c r="J28" i="16"/>
  <c r="J35" i="16"/>
  <c r="J18" i="16"/>
  <c r="E35" i="16"/>
  <c r="E33" i="5"/>
  <c r="E28" i="18"/>
  <c r="J16" i="18"/>
  <c r="J32" i="18"/>
  <c r="J19" i="18"/>
  <c r="J27" i="17"/>
  <c r="J29" i="17"/>
  <c r="E29" i="16"/>
  <c r="J32" i="16"/>
  <c r="J24" i="16"/>
  <c r="J25" i="3"/>
  <c r="E35" i="5"/>
  <c r="J27" i="5"/>
  <c r="J18" i="5"/>
  <c r="E34" i="18"/>
  <c r="E30" i="18"/>
  <c r="J21" i="18"/>
  <c r="J25" i="18"/>
  <c r="J33" i="17"/>
  <c r="J35" i="17"/>
  <c r="J20" i="16"/>
  <c r="J22" i="3"/>
  <c r="J30" i="5"/>
  <c r="J29" i="3"/>
  <c r="J30" i="3"/>
  <c r="E30" i="5"/>
  <c r="J32" i="5"/>
  <c r="J35" i="5"/>
  <c r="E29" i="18"/>
  <c r="J20" i="18"/>
  <c r="J35" i="18"/>
  <c r="J30" i="18"/>
  <c r="J32" i="17"/>
  <c r="J23" i="17"/>
  <c r="J16" i="16"/>
  <c r="J26" i="16"/>
  <c r="J29" i="16"/>
  <c r="J35" i="3"/>
  <c r="J21" i="5"/>
  <c r="J27" i="3"/>
  <c r="J24" i="3"/>
  <c r="J16" i="5"/>
  <c r="J20" i="5"/>
  <c r="J29" i="5"/>
  <c r="E31" i="18"/>
  <c r="J29" i="18"/>
  <c r="J17" i="18"/>
  <c r="J24" i="18"/>
  <c r="J26" i="17"/>
  <c r="E34" i="16"/>
  <c r="J22" i="16"/>
  <c r="J34" i="16"/>
  <c r="J23" i="16"/>
  <c r="J31" i="17"/>
  <c r="E33" i="16"/>
  <c r="J27" i="16"/>
  <c r="J19" i="16"/>
  <c r="J17" i="16"/>
  <c r="J23" i="3"/>
  <c r="J28" i="3"/>
  <c r="J32" i="3"/>
  <c r="E29" i="5"/>
  <c r="J34" i="5"/>
  <c r="J26" i="5"/>
  <c r="J23" i="5"/>
  <c r="E33" i="18"/>
  <c r="J34" i="18"/>
  <c r="J33" i="18"/>
  <c r="J18" i="18"/>
  <c r="J26" i="3"/>
  <c r="E32" i="5"/>
  <c r="J28" i="5"/>
  <c r="J19" i="5"/>
  <c r="J17" i="5"/>
  <c r="E27" i="18"/>
  <c r="J28" i="18"/>
  <c r="J27" i="18"/>
  <c r="J34" i="17"/>
  <c r="J25" i="17"/>
  <c r="E32" i="16"/>
  <c r="J33" i="16"/>
  <c r="J31" i="16"/>
  <c r="J30" i="16"/>
  <c r="E18" i="16"/>
  <c r="E19" i="16"/>
  <c r="E21" i="16"/>
  <c r="E22" i="16"/>
  <c r="E20" i="16"/>
  <c r="E23" i="16"/>
  <c r="E24" i="16"/>
  <c r="E25" i="16"/>
  <c r="E26" i="16"/>
  <c r="E27" i="16"/>
  <c r="E28" i="16"/>
  <c r="E17" i="16"/>
  <c r="E16" i="16"/>
  <c r="J18" i="17"/>
  <c r="J17" i="17"/>
  <c r="J19" i="17"/>
  <c r="J20" i="17"/>
  <c r="J21" i="17"/>
  <c r="J16" i="17"/>
  <c r="E35" i="17"/>
  <c r="E23" i="17"/>
  <c r="E17" i="17"/>
  <c r="E24" i="17"/>
  <c r="E25" i="17"/>
  <c r="E18" i="17"/>
  <c r="E26" i="17"/>
  <c r="E27" i="17"/>
  <c r="E19" i="17"/>
  <c r="E28" i="17"/>
  <c r="E20" i="17"/>
  <c r="E30" i="17"/>
  <c r="E31" i="17"/>
  <c r="E29" i="17"/>
  <c r="E21" i="17"/>
  <c r="E32" i="17"/>
  <c r="E33" i="17"/>
  <c r="E22" i="17"/>
  <c r="E34" i="17"/>
  <c r="E16" i="17"/>
  <c r="E17" i="18"/>
  <c r="E18" i="18"/>
  <c r="E19" i="18"/>
  <c r="E20" i="18"/>
  <c r="E21" i="18"/>
  <c r="E23" i="18"/>
  <c r="E24" i="18"/>
  <c r="E25" i="18"/>
  <c r="E22" i="18"/>
  <c r="E16" i="18"/>
  <c r="E17" i="5"/>
  <c r="E24" i="5"/>
  <c r="E18" i="5"/>
  <c r="E19" i="5"/>
  <c r="E20" i="5"/>
  <c r="E21" i="5"/>
  <c r="E22" i="5"/>
  <c r="E26" i="5"/>
  <c r="E27" i="5"/>
  <c r="E23" i="5"/>
  <c r="E28" i="5"/>
  <c r="E25" i="5"/>
  <c r="E16" i="5"/>
  <c r="J17" i="3"/>
  <c r="J18" i="3"/>
  <c r="J21" i="3"/>
  <c r="J20" i="3"/>
  <c r="J19" i="3"/>
  <c r="J16" i="3"/>
  <c r="E32" i="3"/>
  <c r="E18" i="3"/>
  <c r="E31" i="3"/>
  <c r="E27" i="3"/>
  <c r="E17" i="3"/>
  <c r="E30" i="3"/>
  <c r="E20" i="3"/>
  <c r="E29" i="3"/>
  <c r="E19" i="3"/>
  <c r="E21" i="3"/>
  <c r="E28" i="3"/>
  <c r="E26" i="3"/>
  <c r="E24" i="3"/>
  <c r="E23" i="3"/>
  <c r="E25" i="3"/>
  <c r="E22" i="3"/>
  <c r="E35" i="3"/>
  <c r="E34" i="3"/>
  <c r="E33" i="3"/>
  <c r="E16" i="3"/>
  <c r="J33" i="1"/>
  <c r="J32" i="1"/>
  <c r="J20" i="1"/>
  <c r="J34" i="1"/>
  <c r="J28" i="1"/>
  <c r="J22" i="1"/>
  <c r="J21" i="1"/>
  <c r="J31" i="1"/>
  <c r="J25" i="1"/>
  <c r="J19" i="1"/>
  <c r="J27" i="1"/>
  <c r="J30" i="1"/>
  <c r="J24" i="1"/>
  <c r="J18" i="1"/>
  <c r="J26" i="1"/>
  <c r="J35" i="1"/>
  <c r="J29" i="1"/>
  <c r="J23" i="1"/>
  <c r="J17" i="1"/>
  <c r="J16" i="1"/>
  <c r="E21" i="1"/>
  <c r="E20" i="1"/>
  <c r="E34" i="1"/>
  <c r="E28" i="1"/>
  <c r="E22" i="1"/>
  <c r="E31" i="1"/>
  <c r="E25" i="1"/>
  <c r="E19" i="1"/>
  <c r="E30" i="1"/>
  <c r="E24" i="1"/>
  <c r="E18" i="1"/>
  <c r="E33" i="1"/>
  <c r="E26" i="1"/>
  <c r="E27" i="1"/>
  <c r="E32" i="1"/>
  <c r="E35" i="1"/>
  <c r="E29" i="1"/>
  <c r="E23" i="1"/>
  <c r="E17" i="1"/>
  <c r="E16" i="1"/>
  <c r="P5" i="8"/>
  <c r="P4" i="8"/>
  <c r="D54" i="19"/>
  <c r="D49" i="19"/>
  <c r="C110" i="19"/>
  <c r="C91" i="19"/>
  <c r="C38" i="16"/>
  <c r="C39" i="16"/>
  <c r="C38" i="17"/>
  <c r="C39" i="17"/>
  <c r="C38" i="18"/>
  <c r="C39" i="18"/>
  <c r="C38" i="5"/>
  <c r="O6" i="8" s="1"/>
  <c r="C39" i="5"/>
  <c r="C39" i="3"/>
  <c r="C38" i="1"/>
  <c r="D4" i="8"/>
  <c r="C39" i="1" a="1"/>
  <c r="O5" i="8" l="1"/>
  <c r="C19" i="36"/>
  <c r="C19" i="35"/>
  <c r="G19" i="35"/>
  <c r="F19" i="35"/>
  <c r="H19" i="35"/>
  <c r="E19" i="35"/>
  <c r="D19" i="35"/>
  <c r="O4" i="8"/>
  <c r="C39"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<sst xmlns="http://schemas.openxmlformats.org/spreadsheetml/2006/main" count="1594" uniqueCount="184">
  <si>
    <t>Bull Kelp Monitoring Data Sheet Instructions</t>
  </si>
  <si>
    <t>Introduction:</t>
  </si>
  <si>
    <t>This Excel workbook is designed to present a data entry format that is identical to the data entry sheets used in the field.</t>
  </si>
  <si>
    <r>
      <t xml:space="preserve">The workbook contains a data entry worksheet for each site and year's data in </t>
    </r>
    <r>
      <rPr>
        <b/>
        <sz val="11"/>
        <color theme="8" tint="0.39997558519241921"/>
        <rFont val="Aptos Narrow"/>
        <family val="2"/>
        <scheme val="minor"/>
      </rPr>
      <t xml:space="preserve">purple, </t>
    </r>
    <r>
      <rPr>
        <sz val="11"/>
        <rFont val="Aptos Narrow"/>
        <family val="2"/>
        <scheme val="minor"/>
      </rPr>
      <t xml:space="preserve">and next to each of these data entry sheets is a second worksheet that presents statistics and visualisations of the data from each year (i.e., annual report the </t>
    </r>
    <r>
      <rPr>
        <b/>
        <sz val="11"/>
        <color theme="6" tint="0.39997558519241921"/>
        <rFont val="Aptos Narrow"/>
        <family val="2"/>
        <scheme val="minor"/>
      </rPr>
      <t>GREEN</t>
    </r>
    <r>
      <rPr>
        <sz val="11"/>
        <rFont val="Aptos Narrow"/>
        <family val="2"/>
        <scheme val="minor"/>
      </rPr>
      <t xml:space="preserve"> tabs)</t>
    </r>
  </si>
  <si>
    <t>At the far right along the list of worksheets is an interannual summary sheet that presents statistics and visualisations about the kelp data across all the years for which data has been entered for a given site.</t>
  </si>
  <si>
    <t>Each of the report and summary tabs explains what data are being presented in the tables and graphs.</t>
  </si>
  <si>
    <t>NOTE:  in order for the embedded functions (macros) to work you will need to right click on the database file icon then select "Properties" and check the "Unblock" box, then select "Apply".</t>
  </si>
  <si>
    <t>Notes on custom designed formulas:</t>
  </si>
  <si>
    <t xml:space="preserve">This sheet details the four custom VBA functions designed to deal with irregular data entry (ie., lists of numbers in single cells separated by commas) </t>
  </si>
  <si>
    <t>and categorical data used to assess the % cover of bryozoans on kelp.</t>
  </si>
  <si>
    <t>The five functions listed here are discussed below</t>
  </si>
  <si>
    <t>1) AverageStipeDiameter</t>
  </si>
  <si>
    <t>2) AverageCSVcols</t>
  </si>
  <si>
    <t>3) StdDevCSV</t>
  </si>
  <si>
    <t>4) Bryozoans</t>
  </si>
  <si>
    <t>5) BryozoansSD</t>
  </si>
  <si>
    <t>AverageStipeDiameter()</t>
  </si>
  <si>
    <r>
      <t xml:space="preserve">This function calculates the average stipe diameter </t>
    </r>
    <r>
      <rPr>
        <b/>
        <i/>
        <sz val="11"/>
        <color theme="1"/>
        <rFont val="Aptos Narrow"/>
        <family val="2"/>
        <scheme val="minor"/>
      </rPr>
      <t>per individual quadrat</t>
    </r>
    <r>
      <rPr>
        <sz val="11"/>
        <color theme="1"/>
        <rFont val="Aptos Narrow"/>
        <family val="2"/>
        <scheme val="minor"/>
      </rPr>
      <t xml:space="preserve"> where data are entered as lists in single cells and separated by commas</t>
    </r>
  </si>
  <si>
    <t>For example,</t>
  </si>
  <si>
    <t>List</t>
  </si>
  <si>
    <t>Comma separated data as lists</t>
  </si>
  <si>
    <t>Average Stipe Diameter using =AverageStipeDiameter()</t>
  </si>
  <si>
    <t>A</t>
  </si>
  <si>
    <t>64, 27, 60, 62, 52, 77, 32, 48, 37, 43</t>
  </si>
  <si>
    <t>B</t>
  </si>
  <si>
    <t>38, 33, 41, 35, 66, 35, 20, 72, 49, 77</t>
  </si>
  <si>
    <t>C</t>
  </si>
  <si>
    <t>42, 59, 84, 85, 71, 50, 85, 68, 67, 67</t>
  </si>
  <si>
    <t>We can test that these functions work on the same data in single cell/column format using base Excel functions:</t>
  </si>
  <si>
    <t>Average Stipe Diameter using base Excel = Average()</t>
  </si>
  <si>
    <t>AverageCSVcols &amp; StdDevCSV</t>
  </si>
  <si>
    <r>
      <t>The custom functions</t>
    </r>
    <r>
      <rPr>
        <b/>
        <sz val="11"/>
        <color theme="1"/>
        <rFont val="Aptos Narrow"/>
        <family val="2"/>
        <scheme val="minor"/>
      </rPr>
      <t xml:space="preserve"> =AverageCSVcols()</t>
    </r>
    <r>
      <rPr>
        <sz val="11"/>
        <color theme="1"/>
        <rFont val="Aptos Narrow"/>
        <family val="2"/>
        <scheme val="minor"/>
      </rPr>
      <t xml:space="preserve"> and </t>
    </r>
    <r>
      <rPr>
        <b/>
        <sz val="11"/>
        <color theme="1"/>
        <rFont val="Aptos Narrow"/>
        <family val="2"/>
        <scheme val="minor"/>
      </rPr>
      <t xml:space="preserve">=StdDevCSV() </t>
    </r>
    <r>
      <rPr>
        <sz val="11"/>
        <color theme="1"/>
        <rFont val="Aptos Narrow"/>
        <family val="2"/>
        <scheme val="minor"/>
      </rPr>
      <t xml:space="preserve">calculate the average and standard deviation across all of the quadrats in a given site.  </t>
    </r>
  </si>
  <si>
    <t>To test these function we will use the comma separated values data from the previous example as a single site (i.e., Lists A to C, provided in cells D20 through D22).</t>
  </si>
  <si>
    <t>We will then check that the functions return the same data that base Excel functions would by running those on the single cell/column data (i.e., lists A, B and C from cells C32:E41)</t>
  </si>
  <si>
    <t>using =AverageCSVcols()</t>
  </si>
  <si>
    <t>using =Average() (base Excel)</t>
  </si>
  <si>
    <t>Average Site Stipe Diameter</t>
  </si>
  <si>
    <t>Now we test the standard deviation functions.</t>
  </si>
  <si>
    <t>using =StdDevCSV()</t>
  </si>
  <si>
    <t>using =STDEV.P() (base Excel)</t>
  </si>
  <si>
    <t>Standard Deviation</t>
  </si>
  <si>
    <t>Bryozoans &amp; ByrozoansSD</t>
  </si>
  <si>
    <t>Bryozoan categories are assigned median cover values e.g.,</t>
  </si>
  <si>
    <t>category</t>
  </si>
  <si>
    <t>% cover range</t>
  </si>
  <si>
    <t>median value</t>
  </si>
  <si>
    <t>&lt; 5 %</t>
  </si>
  <si>
    <t>5-20 %</t>
  </si>
  <si>
    <t>20-40 %</t>
  </si>
  <si>
    <t>40-60 %</t>
  </si>
  <si>
    <t>60-80 %</t>
  </si>
  <si>
    <t>80-100 %</t>
  </si>
  <si>
    <t>The assigned median value is the value used to transform from a categorical value to a representive % cover value to create more intuitive visualizations of the data in plots.</t>
  </si>
  <si>
    <r>
      <t xml:space="preserve">The custom Excel VBA function used to calculate bryozoan coverage is called </t>
    </r>
    <r>
      <rPr>
        <b/>
        <sz val="11"/>
        <color theme="1"/>
        <rFont val="Aptos Narrow"/>
        <family val="2"/>
        <scheme val="minor"/>
      </rPr>
      <t>Bryozoans()</t>
    </r>
    <r>
      <rPr>
        <sz val="11"/>
        <color theme="1"/>
        <rFont val="Aptos Narrow"/>
        <family val="2"/>
        <scheme val="minor"/>
      </rPr>
      <t xml:space="preserve"> the function automatically transforms the category values to the medians (middle) of the percent cover ranges.</t>
    </r>
  </si>
  <si>
    <t>After transforming the categorical values to their respective median values, the function calculates the average of the assigned medians.</t>
  </si>
  <si>
    <r>
      <t xml:space="preserve">We test the function here. The left column presents the categorical values with </t>
    </r>
    <r>
      <rPr>
        <b/>
        <sz val="11"/>
        <color theme="1"/>
        <rFont val="Aptos Narrow"/>
        <family val="2"/>
        <scheme val="minor"/>
      </rPr>
      <t>Bryozoans()</t>
    </r>
    <r>
      <rPr>
        <sz val="11"/>
        <color theme="1"/>
        <rFont val="Aptos Narrow"/>
        <family val="2"/>
        <scheme val="minor"/>
      </rPr>
      <t xml:space="preserve"> running the calculation on those data.  </t>
    </r>
  </si>
  <si>
    <t>The right column includes the respective medians from the left column and uses base Excel to calculate the average.  The average values match up demonstrating that the function works correctly.</t>
  </si>
  <si>
    <r>
      <t xml:space="preserve">VBA function </t>
    </r>
    <r>
      <rPr>
        <b/>
        <sz val="11"/>
        <color rgb="FFFF0000"/>
        <rFont val="Aptos Narrow"/>
        <family val="2"/>
        <scheme val="minor"/>
      </rPr>
      <t>(=Bryozoans</t>
    </r>
    <r>
      <rPr>
        <b/>
        <sz val="11"/>
        <color theme="1"/>
        <rFont val="Aptos Narrow"/>
        <family val="2"/>
        <scheme val="minor"/>
      </rPr>
      <t>)</t>
    </r>
  </si>
  <si>
    <r>
      <t>Base Excel (</t>
    </r>
    <r>
      <rPr>
        <b/>
        <sz val="11"/>
        <color rgb="FFFF0000"/>
        <rFont val="Aptos Narrow"/>
        <family val="2"/>
        <scheme val="minor"/>
      </rPr>
      <t>=AVERAGE</t>
    </r>
    <r>
      <rPr>
        <b/>
        <sz val="11"/>
        <color theme="1"/>
        <rFont val="Aptos Narrow"/>
        <family val="2"/>
        <scheme val="minor"/>
      </rPr>
      <t>)</t>
    </r>
  </si>
  <si>
    <t xml:space="preserve">Average </t>
  </si>
  <si>
    <t>Average</t>
  </si>
  <si>
    <r>
      <t xml:space="preserve">In the next box we test the </t>
    </r>
    <r>
      <rPr>
        <b/>
        <sz val="11"/>
        <color theme="1"/>
        <rFont val="Aptos Narrow"/>
        <family val="2"/>
        <scheme val="minor"/>
      </rPr>
      <t>BryozoansSD()</t>
    </r>
    <r>
      <rPr>
        <sz val="11"/>
        <color theme="1"/>
        <rFont val="Aptos Narrow"/>
        <family val="2"/>
        <scheme val="minor"/>
      </rPr>
      <t xml:space="preserve"> function against base Excel </t>
    </r>
    <r>
      <rPr>
        <b/>
        <sz val="11"/>
        <color theme="1"/>
        <rFont val="Aptos Narrow"/>
        <family val="2"/>
        <scheme val="minor"/>
      </rPr>
      <t>STDEV.P().</t>
    </r>
  </si>
  <si>
    <r>
      <rPr>
        <b/>
        <sz val="11"/>
        <color theme="1"/>
        <rFont val="Aptos Narrow"/>
        <family val="2"/>
        <scheme val="minor"/>
      </rPr>
      <t xml:space="preserve">BryozoansSD() </t>
    </r>
    <r>
      <rPr>
        <sz val="11"/>
        <color theme="1"/>
        <rFont val="Aptos Narrow"/>
        <family val="2"/>
        <scheme val="minor"/>
      </rPr>
      <t xml:space="preserve">works in the same way as </t>
    </r>
    <r>
      <rPr>
        <b/>
        <sz val="11"/>
        <color theme="1"/>
        <rFont val="Aptos Narrow"/>
        <family val="2"/>
        <scheme val="minor"/>
      </rPr>
      <t>Bryozoans()</t>
    </r>
    <r>
      <rPr>
        <sz val="11"/>
        <color theme="1"/>
        <rFont val="Aptos Narrow"/>
        <family val="2"/>
        <scheme val="minor"/>
      </rPr>
      <t xml:space="preserve">, but instead it calculates the standard deviation of the median values assigned to each % cover category. </t>
    </r>
  </si>
  <si>
    <r>
      <t>VBA function (</t>
    </r>
    <r>
      <rPr>
        <b/>
        <sz val="11"/>
        <color rgb="FFFF0000"/>
        <rFont val="Aptos Narrow"/>
        <family val="2"/>
        <scheme val="minor"/>
      </rPr>
      <t>=BryzoansSD</t>
    </r>
    <r>
      <rPr>
        <b/>
        <sz val="11"/>
        <color theme="1"/>
        <rFont val="Aptos Narrow"/>
        <family val="2"/>
        <scheme val="minor"/>
      </rPr>
      <t>)</t>
    </r>
  </si>
  <si>
    <r>
      <t>Base Excel (</t>
    </r>
    <r>
      <rPr>
        <b/>
        <sz val="11"/>
        <color rgb="FFFF0000"/>
        <rFont val="Aptos Narrow"/>
        <family val="2"/>
        <scheme val="minor"/>
      </rPr>
      <t>=STDEV.P</t>
    </r>
    <r>
      <rPr>
        <b/>
        <sz val="11"/>
        <color theme="1"/>
        <rFont val="Aptos Narrow"/>
        <family val="2"/>
        <scheme val="minor"/>
      </rPr>
      <t>)</t>
    </r>
  </si>
  <si>
    <r>
      <rPr>
        <b/>
        <sz val="11"/>
        <color theme="1"/>
        <rFont val="Aptos Narrow"/>
        <family val="2"/>
        <scheme val="minor"/>
      </rPr>
      <t>Final note:</t>
    </r>
    <r>
      <rPr>
        <i/>
        <sz val="11"/>
        <color theme="1"/>
        <rFont val="Aptos Narrow"/>
        <family val="2"/>
        <scheme val="minor"/>
      </rPr>
      <t xml:space="preserve"> transforming bryozoan % cover categories to median values is intented to support making visualizations that enable us to easily look for trends in the data over time. But these values should not be used for any kind of formal analyses.</t>
    </r>
  </si>
  <si>
    <r>
      <t xml:space="preserve">Tier 2 </t>
    </r>
    <r>
      <rPr>
        <b/>
        <sz val="11"/>
        <color theme="1"/>
        <rFont val="Aptos Narrow"/>
        <family val="2"/>
      </rPr>
      <t>− Bull Kelp (Nereocystis) Monitoring</t>
    </r>
  </si>
  <si>
    <t xml:space="preserve">Site ID + Location: </t>
  </si>
  <si>
    <t>Site 1</t>
  </si>
  <si>
    <t>Weather:</t>
  </si>
  <si>
    <t xml:space="preserve">Low Tide:                     </t>
  </si>
  <si>
    <t>Time:</t>
  </si>
  <si>
    <t>Site GPS:</t>
  </si>
  <si>
    <t>Substrate:</t>
  </si>
  <si>
    <t>Survey</t>
  </si>
  <si>
    <t>Time</t>
  </si>
  <si>
    <t>Current</t>
  </si>
  <si>
    <t>Tide</t>
  </si>
  <si>
    <t>Year:</t>
  </si>
  <si>
    <t>Date:</t>
  </si>
  <si>
    <t>Understory Kelp:</t>
  </si>
  <si>
    <t>Start</t>
  </si>
  <si>
    <t>Crew:</t>
  </si>
  <si>
    <t>Danielle Denley, Courtney Smaha</t>
  </si>
  <si>
    <t>Urchins:</t>
  </si>
  <si>
    <t>End</t>
  </si>
  <si>
    <t>Transect Locations</t>
  </si>
  <si>
    <t>Oceanographic Data</t>
  </si>
  <si>
    <t>Point</t>
  </si>
  <si>
    <t>Depth</t>
  </si>
  <si>
    <t>GPS</t>
  </si>
  <si>
    <t>GPS:</t>
  </si>
  <si>
    <t>T1a</t>
  </si>
  <si>
    <t>T3b</t>
  </si>
  <si>
    <t>Temperature</t>
  </si>
  <si>
    <t>Salinity</t>
  </si>
  <si>
    <t>T1b</t>
  </si>
  <si>
    <t>T4a</t>
  </si>
  <si>
    <t>−1m</t>
  </si>
  <si>
    <t>T2a</t>
  </si>
  <si>
    <t>T4b</t>
  </si>
  <si>
    <t>−5m</t>
  </si>
  <si>
    <t>T2b</t>
  </si>
  <si>
    <t>T5a</t>
  </si>
  <si>
    <t>−10m</t>
  </si>
  <si>
    <t>T3a</t>
  </si>
  <si>
    <t>T5b</t>
  </si>
  <si>
    <t>Secchi Disk:</t>
  </si>
  <si>
    <t>Quadrat Data</t>
  </si>
  <si>
    <t>Quadrat</t>
  </si>
  <si>
    <t>% Bryozoans</t>
  </si>
  <si>
    <t># Bulbs</t>
  </si>
  <si>
    <t>Stipe Diameter (10)</t>
  </si>
  <si>
    <t>72, 38, 62, 44, 80, 72, 72, 44, 67, 40</t>
  </si>
  <si>
    <t>39, 80, 74, 36, 74, 69, 66, 23, 28, 44</t>
  </si>
  <si>
    <t>31, 52, 55, 76, 20, 74, 74, 48, 72, 78</t>
  </si>
  <si>
    <t>37, 28, 44, 25, 52, 80, 36, 29, 65, 54</t>
  </si>
  <si>
    <t>63, 80, 31, 51, 75, 68, 52, 80, 41, 50</t>
  </si>
  <si>
    <t>70, 63, 82, 34, 80, 31, 21, 72, 77, 68</t>
  </si>
  <si>
    <t>44, 70, 49, 36, 60, 33, 68, 25, 24, 32</t>
  </si>
  <si>
    <t>55, 54, 39, 23, 27, 49, 67, 55, 57, 43</t>
  </si>
  <si>
    <t>26, 48, 42, 21, 61, 52, 62, 63, 79, 51</t>
  </si>
  <si>
    <t>48, 50, 62, 59, 23, 45, 80, 66, 20, 50</t>
  </si>
  <si>
    <t>66, 23, 38, 84, 52, 40, 84, 29, 29, 81</t>
  </si>
  <si>
    <t>55, 23, 69, 62, 62, 82, 71, 67, 33, 48</t>
  </si>
  <si>
    <t>73, 73, 58, 82, 59, 24, 59, 83, 33, 55</t>
  </si>
  <si>
    <t>55, 23, 69, 62, 62, 82, 71, 67, 33, 49</t>
  </si>
  <si>
    <t>73, 73, 58, 82, 59, 24, 59, 83, 33, 56</t>
  </si>
  <si>
    <t>55, 23, 69, 62, 62, 82, 71, 67, 33, 50</t>
  </si>
  <si>
    <t>73, 73, 58, 82, 59, 24, 59, 83, 33, 57</t>
  </si>
  <si>
    <t>55, 23, 69, 62, 62, 82, 71, 67, 33, 51</t>
  </si>
  <si>
    <t>73, 73, 58, 82, 59, 24, 59, 83, 33, 58</t>
  </si>
  <si>
    <t>55, 23, 69, 62, 62, 82, 71, 67, 33, 52</t>
  </si>
  <si>
    <r>
      <t>Kelp Bed Extent (m</t>
    </r>
    <r>
      <rPr>
        <b/>
        <vertAlign val="superscript"/>
        <sz val="11"/>
        <color theme="1"/>
        <rFont val="Aptos Narrow"/>
        <family val="2"/>
        <scheme val="minor"/>
      </rPr>
      <t>2</t>
    </r>
    <r>
      <rPr>
        <b/>
        <sz val="11"/>
        <color theme="1"/>
        <rFont val="Aptos Narrow"/>
        <family val="2"/>
        <scheme val="minor"/>
      </rPr>
      <t>):</t>
    </r>
  </si>
  <si>
    <r>
      <t>Area Surveyed (m</t>
    </r>
    <r>
      <rPr>
        <b/>
        <vertAlign val="superscript"/>
        <sz val="11"/>
        <color theme="1"/>
        <rFont val="Aptos Narrow"/>
        <family val="2"/>
        <scheme val="minor"/>
      </rPr>
      <t>2</t>
    </r>
    <r>
      <rPr>
        <b/>
        <sz val="11"/>
        <color theme="1"/>
        <rFont val="Aptos Narrow"/>
        <family val="2"/>
        <scheme val="minor"/>
      </rPr>
      <t>):</t>
    </r>
  </si>
  <si>
    <t>Average Bryozoan Cover:</t>
  </si>
  <si>
    <t>Average Stipe Diameter</t>
  </si>
  <si>
    <t>Average No. Bulbs</t>
  </si>
  <si>
    <t>Site 2</t>
  </si>
  <si>
    <t>Joanna Bloggs, Joe Bloggs</t>
  </si>
  <si>
    <t>Site 3</t>
  </si>
  <si>
    <t>Year</t>
  </si>
  <si>
    <t>Luke Halpin</t>
  </si>
  <si>
    <t>Site 4</t>
  </si>
  <si>
    <t>Site 5</t>
  </si>
  <si>
    <t>Site 6</t>
  </si>
  <si>
    <t>Site 7</t>
  </si>
  <si>
    <t>Site 8</t>
  </si>
  <si>
    <t>Site 9</t>
  </si>
  <si>
    <t>Site 10</t>
  </si>
  <si>
    <t>Kelp Monitoring Status Report</t>
  </si>
  <si>
    <t>Key Statistics</t>
  </si>
  <si>
    <t>Bryozoan Cover</t>
  </si>
  <si>
    <t>Site</t>
  </si>
  <si>
    <r>
      <t>Average Kelp Density (per m</t>
    </r>
    <r>
      <rPr>
        <b/>
        <vertAlign val="superscript"/>
        <sz val="16"/>
        <color theme="1"/>
        <rFont val="Aptos Narrow"/>
        <family val="2"/>
        <scheme val="minor"/>
      </rPr>
      <t>2</t>
    </r>
    <r>
      <rPr>
        <b/>
        <sz val="16"/>
        <color theme="1"/>
        <rFont val="Aptos Narrow"/>
        <family val="2"/>
        <scheme val="minor"/>
      </rPr>
      <t>)</t>
    </r>
  </si>
  <si>
    <t>Sample Size</t>
  </si>
  <si>
    <r>
      <t>Extent (Area in m</t>
    </r>
    <r>
      <rPr>
        <b/>
        <vertAlign val="superscript"/>
        <sz val="16"/>
        <color theme="1"/>
        <rFont val="Aptos Narrow"/>
        <family val="2"/>
        <scheme val="minor"/>
      </rPr>
      <t>2</t>
    </r>
    <r>
      <rPr>
        <b/>
        <sz val="16"/>
        <color theme="1"/>
        <rFont val="Aptos Narrow"/>
        <family val="2"/>
        <scheme val="minor"/>
      </rPr>
      <t>)</t>
    </r>
  </si>
  <si>
    <t>Average Percent Cover (%)</t>
  </si>
  <si>
    <t>Species/Methodology:</t>
  </si>
  <si>
    <t>dummy 1</t>
  </si>
  <si>
    <t>Extent</t>
  </si>
  <si>
    <t>Bloggs, Bloggs</t>
  </si>
  <si>
    <t>Table 1</t>
  </si>
  <si>
    <r>
      <t>Bull Kelp Bed Extent (m</t>
    </r>
    <r>
      <rPr>
        <b/>
        <vertAlign val="superscript"/>
        <sz val="14"/>
        <color theme="1"/>
        <rFont val="Aptos Narrow"/>
        <family val="2"/>
        <scheme val="minor"/>
      </rPr>
      <t>2</t>
    </r>
    <r>
      <rPr>
        <b/>
        <sz val="14"/>
        <color theme="1"/>
        <rFont val="Aptos Narrow"/>
        <family val="2"/>
        <scheme val="minor"/>
      </rPr>
      <t>)</t>
    </r>
  </si>
  <si>
    <t>Table 2</t>
  </si>
  <si>
    <r>
      <t>Bull Kelp Density (per m</t>
    </r>
    <r>
      <rPr>
        <b/>
        <vertAlign val="superscript"/>
        <sz val="14"/>
        <color theme="1"/>
        <rFont val="Aptos Narrow"/>
        <family val="2"/>
        <scheme val="minor"/>
      </rPr>
      <t>2</t>
    </r>
    <r>
      <rPr>
        <b/>
        <sz val="14"/>
        <color theme="1"/>
        <rFont val="Aptos Narrow"/>
        <family val="2"/>
        <scheme val="minor"/>
      </rPr>
      <t>)</t>
    </r>
  </si>
  <si>
    <t>Standard deviation</t>
  </si>
  <si>
    <t>Sample size (n)</t>
  </si>
  <si>
    <t>Table 3</t>
  </si>
  <si>
    <t>Bryozoan Cover (Average % cover)</t>
  </si>
  <si>
    <r>
      <rPr>
        <b/>
        <sz val="11"/>
        <color theme="1"/>
        <rFont val="Aptos Narrow"/>
        <family val="2"/>
        <scheme val="minor"/>
      </rPr>
      <t>Table 1</t>
    </r>
    <r>
      <rPr>
        <sz val="11"/>
        <color theme="1"/>
        <rFont val="Aptos Narrow"/>
        <family val="2"/>
        <scheme val="minor"/>
      </rPr>
      <t xml:space="preserve"> provides the kelp bed extent (area in m</t>
    </r>
    <r>
      <rPr>
        <vertAlign val="superscript"/>
        <sz val="11"/>
        <color theme="1"/>
        <rFont val="Aptos Narrow"/>
        <family val="2"/>
        <scheme val="minor"/>
      </rPr>
      <t>2</t>
    </r>
    <r>
      <rPr>
        <sz val="11"/>
        <color theme="1"/>
        <rFont val="Aptos Narrow"/>
        <family val="2"/>
        <scheme val="minor"/>
      </rPr>
      <t xml:space="preserve">) measured in each survey year. </t>
    </r>
    <r>
      <rPr>
        <b/>
        <sz val="11"/>
        <color theme="1"/>
        <rFont val="Aptos Narrow"/>
        <family val="2"/>
        <scheme val="minor"/>
      </rPr>
      <t xml:space="preserve">Table 2 </t>
    </r>
    <r>
      <rPr>
        <sz val="11"/>
        <color theme="1"/>
        <rFont val="Aptos Narrow"/>
        <family val="2"/>
        <scheme val="minor"/>
      </rPr>
      <t>provides the average kelp density as the number of bull kelps in each m</t>
    </r>
    <r>
      <rPr>
        <vertAlign val="superscript"/>
        <sz val="11"/>
        <color theme="1"/>
        <rFont val="Aptos Narrow"/>
        <family val="2"/>
        <scheme val="minor"/>
      </rPr>
      <t>2</t>
    </r>
    <r>
      <rPr>
        <sz val="11"/>
        <color theme="1"/>
        <rFont val="Aptos Narrow"/>
        <family val="2"/>
        <scheme val="minor"/>
      </rPr>
      <t xml:space="preserve"> quadrat averaged across all of the quadrats measured for that bed in each survey year; the standard deviation, a measure of how much the number of bull kelps in each m</t>
    </r>
    <r>
      <rPr>
        <vertAlign val="superscript"/>
        <sz val="11"/>
        <color theme="1"/>
        <rFont val="Aptos Narrow"/>
        <family val="2"/>
        <scheme val="minor"/>
      </rPr>
      <t>2</t>
    </r>
    <r>
      <rPr>
        <sz val="11"/>
        <color theme="1"/>
        <rFont val="Aptos Narrow"/>
        <family val="2"/>
        <scheme val="minor"/>
      </rPr>
      <t xml:space="preserve"> quadrat varied within the kelp bed each survey year; and the sample size (n), the number of quadrats measured each survey year. The more kelp density varies within a bed, the more quadrats we need to measure to confidently determine the density of kelp in that bed.  </t>
    </r>
    <r>
      <rPr>
        <b/>
        <sz val="11"/>
        <color theme="1"/>
        <rFont val="Aptos Narrow"/>
        <family val="2"/>
        <scheme val="minor"/>
      </rPr>
      <t xml:space="preserve">Table 3 </t>
    </r>
    <r>
      <rPr>
        <sz val="11"/>
        <color theme="1"/>
        <rFont val="Aptos Narrow"/>
        <family val="2"/>
        <scheme val="minor"/>
      </rPr>
      <t>provides the average of the median percent cover of bryozoans on kelp, the standard deviation and the sample size of quadrats in which bryozoan cover was estimated.</t>
    </r>
  </si>
  <si>
    <r>
      <rPr>
        <b/>
        <sz val="11"/>
        <color theme="1"/>
        <rFont val="Aptos Narrow"/>
        <family val="2"/>
        <scheme val="minor"/>
      </rPr>
      <t>Figure 1</t>
    </r>
    <r>
      <rPr>
        <sz val="11"/>
        <color theme="1"/>
        <rFont val="Aptos Narrow"/>
        <family val="2"/>
        <scheme val="minor"/>
      </rPr>
      <t xml:space="preserve"> shows a visualization of the results of Table 1 and Table 2 as a bar and line graph. The average kelp density is represented by the orange bars. The whiskers on the top of each bar show the standard deviation. The blue line respresents the trend in kelp bed extent over time.</t>
    </r>
  </si>
  <si>
    <r>
      <rPr>
        <b/>
        <sz val="11"/>
        <color theme="1"/>
        <rFont val="Aptos Narrow"/>
        <family val="2"/>
        <scheme val="minor"/>
      </rPr>
      <t>Figure 2</t>
    </r>
    <r>
      <rPr>
        <sz val="11"/>
        <color theme="1"/>
        <rFont val="Aptos Narrow"/>
        <family val="2"/>
        <scheme val="minor"/>
      </rPr>
      <t xml:space="preserve"> shows a visualization of the results of Table 3 as a bar graph. The average median percent cover of bryozoans on kelp is presented in a bar for each year. The whiskers on the top of each bar show the standard deviation</t>
    </r>
  </si>
  <si>
    <t xml:space="preserve">50.0951837307327 -125.162577667613 </t>
  </si>
  <si>
    <t>50.3823804733274 -125.356967106768</t>
  </si>
  <si>
    <t>50.0951837307327 -125.162577667613</t>
  </si>
  <si>
    <t>50.2605548773263 -125.217124778357</t>
  </si>
  <si>
    <t xml:space="preserve">50.1233393749727 -125.123313503745 </t>
  </si>
  <si>
    <t>50.1464575898626 -125.180323946711</t>
  </si>
  <si>
    <t>49.7297133815601 -124.88387958162</t>
  </si>
  <si>
    <t>50.368283274691 -125.379427136414</t>
  </si>
  <si>
    <t>49.9416505890812 -124.735351921391</t>
  </si>
  <si>
    <t>49.9687889220144 -125.211095400997</t>
  </si>
  <si>
    <t>49.9120690675529 -124.642498544769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</si>
</sst>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8" x14ac:knownFonts="1">
    <font>
      <sz val="11"/>
      <color theme="1"/>
      <name val="Aptos Narrow"/>
      <family val="2"/>
      <scheme val="minor"/>
    </font>
    <font>
      <b/>
      <sz val="11"/>
      <color theme="1"/>
      <name val="Aptos Narrow"/>
      <family val="2"/>
      <scheme val="minor"/>
    </font>
    <font>
      <sz val="11"/>
      <color theme="1"/>
      <name val="Aptos Narrow"/>
      <family val="2"/>
    </font>
    <font>
      <b/>
      <sz val="11"/>
      <color theme="1"/>
      <name val="Aptos Narrow"/>
      <family val="2"/>
    </font>
    <font>
      <sz val="12"/>
      <color theme="1"/>
      <name val="Aptos Narrow"/>
      <family val="2"/>
      <scheme val="minor"/>
    </font>
    <font>
      <sz val="20"/>
      <color theme="1"/>
      <name val="Aptos Narrow"/>
      <family val="2"/>
      <scheme val="minor"/>
    </font>
    <font>
      <b/>
      <sz val="12"/>
      <color theme="1"/>
      <name val="Aptos Narrow"/>
      <family val="2"/>
      <scheme val="minor"/>
    </font>
    <font>
      <sz val="16"/>
      <color theme="1"/>
      <name val="Aptos Narrow"/>
      <family val="2"/>
      <scheme val="minor"/>
    </font>
    <font>
      <b/>
      <sz val="16"/>
      <color theme="1"/>
      <name val="Aptos Narrow"/>
      <family val="2"/>
      <scheme val="minor"/>
    </font>
    <font>
      <b/>
      <sz val="14"/>
      <color theme="1"/>
      <name val="Aptos Narrow"/>
      <family val="2"/>
      <scheme val="minor"/>
    </font>
    <font>
      <vertAlign val="superscript"/>
      <sz val="11"/>
      <color theme="1"/>
      <name val="Aptos Narrow"/>
      <family val="2"/>
      <scheme val="minor"/>
    </font>
    <font>
      <sz val="10"/>
      <color rgb="FF333333"/>
      <name val="Verdana"/>
      <family val="2"/>
    </font>
    <font>
      <sz val="11"/>
      <name val="Aptos Narrow"/>
      <family val="2"/>
      <scheme val="minor"/>
    </font>
    <font>
      <b/>
      <sz val="11"/>
      <color theme="8" tint="0.39997558519241921"/>
      <name val="Aptos Narrow"/>
      <family val="2"/>
      <scheme val="minor"/>
    </font>
    <font>
      <b/>
      <sz val="11"/>
      <color theme="6" tint="0.39997558519241921"/>
      <name val="Aptos Narrow"/>
      <family val="2"/>
      <scheme val="minor"/>
    </font>
    <font>
      <sz val="14"/>
      <color theme="1"/>
      <name val="Aptos Narrow"/>
      <family val="2"/>
      <scheme val="minor"/>
    </font>
    <font>
      <b/>
      <vertAlign val="superscript"/>
      <sz val="11"/>
      <color theme="1"/>
      <name val="Aptos Narrow"/>
      <family val="2"/>
      <scheme val="minor"/>
    </font>
    <font>
      <b/>
      <vertAlign val="superscript"/>
      <sz val="16"/>
      <color theme="1"/>
      <name val="Aptos Narrow"/>
      <family val="2"/>
      <scheme val="minor"/>
    </font>
    <font>
      <b/>
      <vertAlign val="superscript"/>
      <sz val="14"/>
      <color theme="1"/>
      <name val="Aptos Narrow"/>
      <family val="2"/>
      <scheme val="minor"/>
    </font>
    <font>
      <sz val="12"/>
      <color rgb="FF000000"/>
      <name val="Aptos Narrow"/>
      <family val="2"/>
      <scheme val="minor"/>
    </font>
    <font>
      <b/>
      <sz val="12"/>
      <color rgb="FF000000"/>
      <name val="Aptos Narrow"/>
      <family val="2"/>
      <scheme val="minor"/>
    </font>
    <font>
      <b/>
      <sz val="11"/>
      <color rgb="FFFF0000"/>
      <name val="Aptos Narrow"/>
      <family val="2"/>
      <scheme val="minor"/>
    </font>
    <font>
      <i/>
      <sz val="11"/>
      <color theme="1"/>
      <name val="Aptos Narrow"/>
      <family val="2"/>
      <scheme val="minor"/>
    </font>
    <font>
      <b/>
      <i/>
      <sz val="11"/>
      <color theme="1"/>
      <name val="Aptos Narrow"/>
      <family val="2"/>
      <scheme val="minor"/>
    </font>
    <font>
      <b/>
      <sz val="18"/>
      <color theme="1"/>
      <name val="Aptos Narrow"/>
      <family val="2"/>
      <scheme val="minor"/>
    </font>
    <font>
      <b/>
      <sz val="20"/>
      <color theme="1"/>
      <name val="Aptos Narrow"/>
      <family val="2"/>
      <scheme val="minor"/>
    </font>
    <font>
      <sz val="16"/>
      <name val="Aptos Narrow"/>
      <family val="2"/>
      <scheme val="minor"/>
    </font>
    <font>
      <sz val="8"/>
      <name val="Aptos Narrow"/>
      <family val="2"/>
      <scheme val="minor"/>
    </font>
  </fonts>
  <fills count="6">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rgb="FFFFFF00"/>
        <bgColor indexed="64"/>
      </patternFill>
    </fill>
  </fills>
  <borders count="64">
    <border>
      <left/>
      <right/>
      <top/>
      <bottom/>
      <diagonal/>
    </border>
    <border>
      <left/>
      <right style="medium">
        <color indexed="64"/>
      </right>
      <top/>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style="medium">
        <color indexed="64"/>
      </top>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bottom style="thin">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bottom style="thin">
        <color indexed="64"/>
      </bottom>
      <diagonal/>
    </border>
    <border>
      <left/>
      <right style="medium">
        <color indexed="64"/>
      </right>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medium">
        <color indexed="64"/>
      </bottom>
      <diagonal/>
    </border>
  </borders>
  <cellStyleXfs count="1">
    <xf numFmtId="0" fontId="0" fillId="0" borderId="0"/>
  </cellStyleXfs>
  <cellXfs count="231">
    <xf numFmtId="0" fontId="0" fillId="0" borderId="0" xfId="0"/>
    <xf numFmtId="0" fontId="0" fillId="0" borderId="3" xfId="0" applyBorder="1"/>
    <xf numFmtId="0" fontId="0" fillId="0" borderId="8" xfId="0" applyBorder="1"/>
    <xf numFmtId="0" fontId="0" fillId="0" borderId="10" xfId="0" applyBorder="1"/>
    <xf numFmtId="0" fontId="0" fillId="0" borderId="17" xfId="0" applyBorder="1"/>
    <xf numFmtId="0" fontId="0" fillId="0" borderId="18" xfId="0" applyBorder="1"/>
    <xf numFmtId="0" fontId="0" fillId="0" borderId="11" xfId="0" applyBorder="1"/>
    <xf numFmtId="0" fontId="0" fillId="0" borderId="10" xfId="0" applyBorder="1" applyAlignment="1">
      <alignment horizontal="center"/>
    </xf>
    <xf numFmtId="0" fontId="0" fillId="0" borderId="18" xfId="0" applyBorder="1" applyAlignment="1">
      <alignment horizontal="center"/>
    </xf>
    <xf numFmtId="0" fontId="0" fillId="2" borderId="15" xfId="0" applyFill="1" applyBorder="1" applyAlignment="1">
      <alignment horizontal="left"/>
    </xf>
    <xf numFmtId="0" fontId="0" fillId="2" borderId="16" xfId="0" applyFill="1" applyBorder="1" applyAlignment="1">
      <alignment horizontal="left"/>
    </xf>
    <xf numFmtId="0" fontId="0" fillId="2" borderId="12" xfId="0" applyFill="1" applyBorder="1" applyAlignment="1">
      <alignment horizontal="left"/>
    </xf>
    <xf numFmtId="0" fontId="0" fillId="2" borderId="22" xfId="0" applyFill="1" applyBorder="1" applyAlignment="1">
      <alignment horizontal="left"/>
    </xf>
    <xf numFmtId="0" fontId="0" fillId="3" borderId="21" xfId="0" applyFill="1" applyBorder="1" applyAlignment="1">
      <alignment horizontal="left"/>
    </xf>
    <xf numFmtId="0" fontId="0" fillId="3" borderId="19" xfId="0" applyFill="1" applyBorder="1" applyAlignment="1">
      <alignment horizontal="left"/>
    </xf>
    <xf numFmtId="0" fontId="0" fillId="3" borderId="11" xfId="0" applyFill="1" applyBorder="1" applyAlignment="1">
      <alignment horizontal="left"/>
    </xf>
    <xf numFmtId="0" fontId="0" fillId="0" borderId="1" xfId="0" applyBorder="1"/>
    <xf numFmtId="0" fontId="0" fillId="0" borderId="34" xfId="0" applyBorder="1"/>
    <xf numFmtId="0" fontId="0" fillId="3" borderId="34" xfId="0" applyFill="1" applyBorder="1"/>
    <xf numFmtId="0" fontId="0" fillId="3" borderId="0" xfId="0" applyFill="1"/>
    <xf numFmtId="0" fontId="0" fillId="3" borderId="10" xfId="0" applyFill="1" applyBorder="1"/>
    <xf numFmtId="0" fontId="0" fillId="3" borderId="18" xfId="0" applyFill="1" applyBorder="1"/>
    <xf numFmtId="0" fontId="0" fillId="3" borderId="17" xfId="0" applyFill="1" applyBorder="1"/>
    <xf numFmtId="0" fontId="0" fillId="3" borderId="16" xfId="0" applyFill="1" applyBorder="1"/>
    <xf numFmtId="0" fontId="0" fillId="3" borderId="12" xfId="0" applyFill="1" applyBorder="1"/>
    <xf numFmtId="0" fontId="2" fillId="3" borderId="10" xfId="0" applyFont="1" applyFill="1" applyBorder="1" applyAlignment="1">
      <alignment horizontal="center"/>
    </xf>
    <xf numFmtId="0" fontId="2" fillId="3" borderId="18" xfId="0" applyFont="1" applyFill="1" applyBorder="1"/>
    <xf numFmtId="0" fontId="0" fillId="3" borderId="16" xfId="0" applyFill="1" applyBorder="1" applyAlignment="1">
      <alignment horizontal="center"/>
    </xf>
    <xf numFmtId="0" fontId="0" fillId="3" borderId="12" xfId="0" applyFill="1" applyBorder="1" applyAlignment="1">
      <alignment horizontal="center"/>
    </xf>
    <xf numFmtId="0" fontId="0" fillId="3" borderId="10" xfId="0" applyFill="1" applyBorder="1" applyAlignment="1">
      <alignment horizontal="center"/>
    </xf>
    <xf numFmtId="0" fontId="0" fillId="3" borderId="18" xfId="0" applyFill="1" applyBorder="1" applyAlignment="1">
      <alignment horizontal="center"/>
    </xf>
    <xf numFmtId="0" fontId="0" fillId="2" borderId="0" xfId="0" applyFill="1"/>
    <xf numFmtId="0" fontId="0" fillId="2" borderId="0" xfId="0" applyFill="1" applyAlignment="1">
      <alignment vertical="top" wrapText="1"/>
    </xf>
    <xf numFmtId="0" fontId="0" fillId="2" borderId="0" xfId="0" applyFill="1" applyAlignment="1">
      <alignment horizontal="left"/>
    </xf>
    <xf numFmtId="0" fontId="0" fillId="2" borderId="29" xfId="0" applyFill="1" applyBorder="1"/>
    <xf numFmtId="0" fontId="0" fillId="2" borderId="31" xfId="0" applyFill="1" applyBorder="1"/>
    <xf numFmtId="0" fontId="1" fillId="2" borderId="0" xfId="0" applyFont="1" applyFill="1"/>
    <xf numFmtId="0" fontId="0" fillId="2" borderId="27" xfId="0" applyFill="1" applyBorder="1"/>
    <xf numFmtId="0" fontId="4" fillId="2" borderId="0" xfId="0" applyFont="1" applyFill="1"/>
    <xf numFmtId="0" fontId="0" fillId="3" borderId="44" xfId="0" applyFill="1" applyBorder="1" applyAlignment="1">
      <alignment horizontal="left"/>
    </xf>
    <xf numFmtId="0" fontId="0" fillId="3" borderId="1" xfId="0" applyFill="1" applyBorder="1" applyAlignment="1">
      <alignment horizontal="left"/>
    </xf>
    <xf numFmtId="0" fontId="1" fillId="2" borderId="30" xfId="0" applyFont="1" applyFill="1" applyBorder="1"/>
    <xf numFmtId="0" fontId="1" fillId="2" borderId="28" xfId="0" applyFont="1" applyFill="1" applyBorder="1"/>
    <xf numFmtId="0" fontId="0" fillId="0" borderId="23" xfId="0" applyBorder="1" applyAlignment="1">
      <alignment horizontal="center"/>
    </xf>
    <xf numFmtId="0" fontId="0" fillId="0" borderId="24" xfId="0" applyBorder="1" applyAlignment="1">
      <alignment horizontal="center"/>
    </xf>
    <xf numFmtId="0" fontId="6" fillId="2" borderId="0" xfId="0" applyFont="1" applyFill="1" applyAlignment="1">
      <alignment horizontal="right"/>
    </xf>
    <xf numFmtId="0" fontId="0" fillId="3" borderId="14" xfId="0" applyFill="1" applyBorder="1"/>
    <xf numFmtId="0" fontId="0" fillId="3" borderId="20" xfId="0" applyFill="1" applyBorder="1"/>
    <xf numFmtId="0" fontId="0" fillId="3" borderId="49" xfId="0" applyFill="1" applyBorder="1"/>
    <xf numFmtId="0" fontId="0" fillId="3" borderId="50" xfId="0" applyFill="1" applyBorder="1"/>
    <xf numFmtId="0" fontId="0" fillId="3" borderId="49" xfId="0" applyFill="1" applyBorder="1" applyAlignment="1">
      <alignment horizontal="left"/>
    </xf>
    <xf numFmtId="0" fontId="0" fillId="0" borderId="24" xfId="0" applyBorder="1"/>
    <xf numFmtId="0" fontId="0" fillId="3" borderId="51" xfId="0" applyFill="1" applyBorder="1" applyAlignment="1">
      <alignment horizontal="center"/>
    </xf>
    <xf numFmtId="0" fontId="0" fillId="4" borderId="13" xfId="0" applyFill="1" applyBorder="1" applyAlignment="1">
      <alignment horizontal="left"/>
    </xf>
    <xf numFmtId="0" fontId="0" fillId="3" borderId="26" xfId="0" applyFill="1" applyBorder="1" applyAlignment="1">
      <alignment horizontal="center"/>
    </xf>
    <xf numFmtId="0" fontId="1" fillId="2" borderId="26" xfId="0" applyFont="1" applyFill="1" applyBorder="1"/>
    <xf numFmtId="0" fontId="8" fillId="2" borderId="0" xfId="0" applyFont="1" applyFill="1"/>
    <xf numFmtId="0" fontId="0" fillId="2" borderId="0" xfId="0" applyFill="1" applyAlignment="1">
      <alignment vertical="center"/>
    </xf>
    <xf numFmtId="0" fontId="5" fillId="2" borderId="0" xfId="0" applyFont="1" applyFill="1"/>
    <xf numFmtId="0" fontId="5" fillId="2" borderId="0" xfId="0" applyFont="1" applyFill="1" applyAlignment="1">
      <alignment horizontal="center"/>
    </xf>
    <xf numFmtId="0" fontId="9" fillId="2" borderId="28" xfId="0" applyFont="1" applyFill="1" applyBorder="1"/>
    <xf numFmtId="0" fontId="0" fillId="2" borderId="14" xfId="0" applyFill="1" applyBorder="1" applyAlignment="1">
      <alignment horizontal="left"/>
    </xf>
    <xf numFmtId="0" fontId="0" fillId="0" borderId="20" xfId="0" applyBorder="1"/>
    <xf numFmtId="0" fontId="0" fillId="3" borderId="8" xfId="0" applyFill="1" applyBorder="1"/>
    <xf numFmtId="0" fontId="1" fillId="2" borderId="23" xfId="0" applyFont="1" applyFill="1" applyBorder="1"/>
    <xf numFmtId="164" fontId="0" fillId="2" borderId="0" xfId="0" applyNumberFormat="1" applyFill="1"/>
    <xf numFmtId="0" fontId="0" fillId="2" borderId="0" xfId="0" applyFill="1" applyAlignment="1">
      <alignment horizontal="center"/>
    </xf>
    <xf numFmtId="0" fontId="12" fillId="2" borderId="0" xfId="0" applyFont="1" applyFill="1"/>
    <xf numFmtId="0" fontId="9" fillId="2" borderId="0" xfId="0" applyFont="1" applyFill="1"/>
    <xf numFmtId="0" fontId="15" fillId="2" borderId="0" xfId="0" applyFont="1" applyFill="1"/>
    <xf numFmtId="0" fontId="15" fillId="2" borderId="0" xfId="0" applyFont="1" applyFill="1" applyAlignment="1">
      <alignment horizontal="left"/>
    </xf>
    <xf numFmtId="0" fontId="9" fillId="2" borderId="30" xfId="0" applyFont="1" applyFill="1" applyBorder="1"/>
    <xf numFmtId="0" fontId="15" fillId="2" borderId="38" xfId="0" applyFont="1" applyFill="1" applyBorder="1"/>
    <xf numFmtId="1" fontId="0" fillId="2" borderId="38" xfId="0" applyNumberFormat="1" applyFill="1" applyBorder="1" applyAlignment="1">
      <alignment horizontal="center"/>
    </xf>
    <xf numFmtId="0" fontId="19" fillId="0" borderId="0" xfId="0" applyFont="1" applyAlignment="1">
      <alignment wrapText="1"/>
    </xf>
    <xf numFmtId="0" fontId="20" fillId="0" borderId="0" xfId="0" applyFont="1" applyAlignment="1">
      <alignment wrapText="1"/>
    </xf>
    <xf numFmtId="0" fontId="0" fillId="5" borderId="0" xfId="0" applyFill="1"/>
    <xf numFmtId="164" fontId="1" fillId="3" borderId="58" xfId="0" applyNumberFormat="1" applyFont="1" applyFill="1" applyBorder="1" applyAlignment="1">
      <alignment horizontal="center"/>
    </xf>
    <xf numFmtId="164" fontId="1" fillId="3" borderId="48" xfId="0" applyNumberFormat="1" applyFont="1" applyFill="1" applyBorder="1" applyAlignment="1">
      <alignment horizontal="center" vertical="center"/>
    </xf>
    <xf numFmtId="164" fontId="1" fillId="3" borderId="48" xfId="0" applyNumberFormat="1" applyFont="1" applyFill="1" applyBorder="1" applyAlignment="1">
      <alignment horizontal="center"/>
    </xf>
    <xf numFmtId="1" fontId="1" fillId="3" borderId="52" xfId="0" applyNumberFormat="1" applyFont="1" applyFill="1" applyBorder="1" applyAlignment="1">
      <alignment horizontal="center" vertical="center"/>
    </xf>
    <xf numFmtId="1" fontId="1" fillId="3" borderId="58" xfId="0" applyNumberFormat="1" applyFont="1" applyFill="1" applyBorder="1" applyAlignment="1">
      <alignment horizontal="center" vertical="center"/>
    </xf>
    <xf numFmtId="1" fontId="0" fillId="2" borderId="0" xfId="0" applyNumberFormat="1" applyFill="1" applyAlignment="1">
      <alignment horizontal="center"/>
    </xf>
    <xf numFmtId="0" fontId="1" fillId="2" borderId="0" xfId="0" applyFont="1" applyFill="1" applyAlignment="1">
      <alignment horizontal="right"/>
    </xf>
    <xf numFmtId="1" fontId="0" fillId="2" borderId="33" xfId="0" applyNumberFormat="1" applyFill="1" applyBorder="1" applyAlignment="1">
      <alignment horizontal="center"/>
    </xf>
    <xf numFmtId="0" fontId="0" fillId="2" borderId="10" xfId="0" applyFill="1" applyBorder="1" applyAlignment="1">
      <alignment horizontal="center"/>
    </xf>
    <xf numFmtId="164" fontId="1" fillId="2" borderId="0" xfId="0" applyNumberFormat="1" applyFont="1" applyFill="1"/>
    <xf numFmtId="0" fontId="22" fillId="2" borderId="0" xfId="0" applyFont="1" applyFill="1"/>
    <xf numFmtId="0" fontId="0" fillId="2" borderId="10" xfId="0" applyFill="1" applyBorder="1"/>
    <xf numFmtId="0" fontId="1" fillId="2" borderId="10" xfId="0" applyFont="1" applyFill="1" applyBorder="1" applyAlignment="1">
      <alignment horizontal="right"/>
    </xf>
    <xf numFmtId="164" fontId="1" fillId="2" borderId="10" xfId="0" applyNumberFormat="1" applyFont="1" applyFill="1" applyBorder="1"/>
    <xf numFmtId="0" fontId="0" fillId="2" borderId="0" xfId="0" applyFill="1" applyAlignment="1">
      <alignment horizontal="right"/>
    </xf>
    <xf numFmtId="0" fontId="0" fillId="3" borderId="60" xfId="0" applyFill="1" applyBorder="1" applyAlignment="1">
      <alignment horizontal="center"/>
    </xf>
    <xf numFmtId="0" fontId="0" fillId="3" borderId="24" xfId="0" applyFill="1" applyBorder="1" applyAlignment="1">
      <alignment horizontal="center"/>
    </xf>
    <xf numFmtId="0" fontId="0" fillId="3" borderId="11" xfId="0" applyFill="1" applyBorder="1" applyAlignment="1">
      <alignment horizontal="center"/>
    </xf>
    <xf numFmtId="0" fontId="1" fillId="3" borderId="10" xfId="0" applyFont="1" applyFill="1" applyBorder="1"/>
    <xf numFmtId="0" fontId="1" fillId="3" borderId="10" xfId="0" applyFont="1" applyFill="1" applyBorder="1" applyAlignment="1">
      <alignment horizontal="center" vertical="center" wrapText="1"/>
    </xf>
    <xf numFmtId="0" fontId="1" fillId="3" borderId="10" xfId="0" applyFont="1" applyFill="1" applyBorder="1" applyAlignment="1">
      <alignment vertical="center" wrapText="1"/>
    </xf>
    <xf numFmtId="0" fontId="11" fillId="2" borderId="0" xfId="0" applyFont="1" applyFill="1"/>
    <xf numFmtId="0" fontId="1" fillId="2" borderId="0" xfId="0" applyFont="1" applyFill="1" applyAlignment="1">
      <alignment horizontal="center" vertical="center" wrapText="1"/>
    </xf>
    <xf numFmtId="0" fontId="1" fillId="2" borderId="0" xfId="0" applyFont="1" applyFill="1" applyAlignment="1">
      <alignment vertical="center" wrapText="1"/>
    </xf>
    <xf numFmtId="0" fontId="1" fillId="2" borderId="0" xfId="0" applyFont="1" applyFill="1" applyAlignment="1">
      <alignment horizontal="center"/>
    </xf>
    <xf numFmtId="164" fontId="0" fillId="2" borderId="10" xfId="0" applyNumberFormat="1" applyFill="1" applyBorder="1" applyAlignment="1">
      <alignment horizontal="center"/>
    </xf>
    <xf numFmtId="0" fontId="21" fillId="2" borderId="0" xfId="0" applyFont="1" applyFill="1"/>
    <xf numFmtId="0" fontId="24" fillId="2" borderId="0" xfId="0" applyFont="1" applyFill="1"/>
    <xf numFmtId="0" fontId="0" fillId="3" borderId="17" xfId="0" applyFill="1" applyBorder="1" applyAlignment="1">
      <alignment horizontal="left"/>
    </xf>
    <xf numFmtId="0" fontId="0" fillId="3" borderId="17" xfId="0" applyFill="1" applyBorder="1" applyAlignment="1">
      <alignment horizontal="center"/>
    </xf>
    <xf numFmtId="164" fontId="12" fillId="2" borderId="0" xfId="0" applyNumberFormat="1" applyFont="1" applyFill="1"/>
    <xf numFmtId="1" fontId="0" fillId="2" borderId="25" xfId="0" applyNumberFormat="1" applyFill="1" applyBorder="1" applyAlignment="1">
      <alignment horizontal="center"/>
    </xf>
    <xf numFmtId="164" fontId="7" fillId="2" borderId="61" xfId="0" applyNumberFormat="1" applyFont="1" applyFill="1" applyBorder="1" applyAlignment="1">
      <alignment horizontal="center" vertical="center"/>
    </xf>
    <xf numFmtId="0" fontId="7" fillId="2" borderId="61" xfId="0" applyFont="1" applyFill="1" applyBorder="1" applyAlignment="1">
      <alignment horizontal="center" vertical="center"/>
    </xf>
    <xf numFmtId="164" fontId="7" fillId="2" borderId="62" xfId="0" applyNumberFormat="1" applyFont="1" applyFill="1" applyBorder="1" applyAlignment="1">
      <alignment horizontal="center" vertical="center"/>
    </xf>
    <xf numFmtId="0" fontId="7" fillId="2" borderId="62" xfId="0" applyFont="1" applyFill="1" applyBorder="1" applyAlignment="1">
      <alignment horizontal="center" vertical="center"/>
    </xf>
    <xf numFmtId="164" fontId="7" fillId="2" borderId="34" xfId="0" applyNumberFormat="1" applyFont="1" applyFill="1" applyBorder="1" applyAlignment="1">
      <alignment horizontal="center" vertical="center"/>
    </xf>
    <xf numFmtId="0" fontId="8" fillId="2" borderId="61" xfId="0" applyFont="1" applyFill="1" applyBorder="1"/>
    <xf numFmtId="0" fontId="8" fillId="2" borderId="61" xfId="0" applyFont="1" applyFill="1" applyBorder="1" applyAlignment="1">
      <alignment horizontal="right"/>
    </xf>
    <xf numFmtId="0" fontId="8" fillId="2" borderId="61" xfId="0" applyFont="1" applyFill="1" applyBorder="1" applyAlignment="1">
      <alignment horizontal="left"/>
    </xf>
    <xf numFmtId="0" fontId="8" fillId="2" borderId="28" xfId="0" applyFont="1" applyFill="1" applyBorder="1" applyAlignment="1">
      <alignment horizontal="left"/>
    </xf>
    <xf numFmtId="1" fontId="7" fillId="2" borderId="62" xfId="0" applyNumberFormat="1" applyFont="1" applyFill="1" applyBorder="1" applyAlignment="1">
      <alignment horizontal="center" vertical="center"/>
    </xf>
    <xf numFmtId="1" fontId="26" fillId="2" borderId="62" xfId="0" applyNumberFormat="1" applyFont="1" applyFill="1" applyBorder="1" applyAlignment="1">
      <alignment horizontal="center" vertical="center"/>
    </xf>
    <xf numFmtId="1" fontId="26" fillId="2" borderId="34" xfId="0" applyNumberFormat="1" applyFont="1" applyFill="1" applyBorder="1" applyAlignment="1">
      <alignment horizontal="center" vertical="center"/>
    </xf>
    <xf numFmtId="0" fontId="8" fillId="2" borderId="62" xfId="0" applyFont="1" applyFill="1" applyBorder="1"/>
    <xf numFmtId="0" fontId="8" fillId="2" borderId="34" xfId="0" applyFont="1" applyFill="1" applyBorder="1"/>
    <xf numFmtId="1" fontId="7" fillId="2" borderId="61" xfId="0" applyNumberFormat="1" applyFont="1" applyFill="1" applyBorder="1" applyAlignment="1">
      <alignment horizontal="center" vertical="center"/>
    </xf>
    <xf numFmtId="164" fontId="26" fillId="2" borderId="62" xfId="0" applyNumberFormat="1" applyFont="1" applyFill="1" applyBorder="1" applyAlignment="1">
      <alignment horizontal="center" vertical="center"/>
    </xf>
    <xf numFmtId="164" fontId="26" fillId="2" borderId="34" xfId="0" applyNumberFormat="1" applyFont="1" applyFill="1" applyBorder="1" applyAlignment="1">
      <alignment horizontal="center" vertical="center"/>
    </xf>
    <xf numFmtId="14" fontId="15" fillId="2" borderId="0" xfId="0" applyNumberFormat="1" applyFont="1" applyFill="1" applyAlignment="1">
      <alignment horizontal="left"/>
    </xf>
    <xf numFmtId="0" fontId="9" fillId="2" borderId="38" xfId="0" applyFont="1" applyFill="1" applyBorder="1"/>
    <xf numFmtId="0" fontId="15" fillId="2" borderId="38" xfId="0" applyFont="1" applyFill="1" applyBorder="1" applyAlignment="1">
      <alignment horizontal="left"/>
    </xf>
    <xf numFmtId="0" fontId="1" fillId="2" borderId="29" xfId="0" applyFont="1" applyFill="1" applyBorder="1" applyAlignment="1">
      <alignment horizontal="center"/>
    </xf>
    <xf numFmtId="1" fontId="0" fillId="2" borderId="33" xfId="0" applyNumberFormat="1" applyFill="1" applyBorder="1"/>
    <xf numFmtId="1" fontId="0" fillId="2" borderId="32" xfId="0" applyNumberFormat="1" applyFill="1" applyBorder="1"/>
    <xf numFmtId="164" fontId="0" fillId="2" borderId="0" xfId="0" applyNumberFormat="1" applyFill="1" applyAlignment="1">
      <alignment horizontal="center"/>
    </xf>
    <xf numFmtId="0" fontId="0" fillId="2" borderId="38" xfId="0" applyFill="1" applyBorder="1"/>
    <xf numFmtId="1" fontId="0" fillId="2" borderId="25" xfId="0" applyNumberFormat="1" applyFill="1" applyBorder="1"/>
    <xf numFmtId="1" fontId="0" fillId="2" borderId="27" xfId="0" applyNumberFormat="1" applyFill="1" applyBorder="1"/>
    <xf numFmtId="164" fontId="0" fillId="2" borderId="29" xfId="0" applyNumberFormat="1" applyFill="1" applyBorder="1"/>
    <xf numFmtId="1" fontId="1" fillId="2" borderId="0" xfId="0" applyNumberFormat="1" applyFont="1" applyFill="1" applyAlignment="1">
      <alignment horizontal="center"/>
    </xf>
    <xf numFmtId="0" fontId="1" fillId="2" borderId="29" xfId="0" applyFont="1" applyFill="1" applyBorder="1"/>
    <xf numFmtId="0" fontId="0" fillId="0" borderId="63" xfId="0" applyBorder="1"/>
    <xf numFmtId="0" fontId="1" fillId="3" borderId="10" xfId="0" applyFont="1" applyFill="1" applyBorder="1" applyAlignment="1">
      <alignment horizontal="center"/>
    </xf>
    <xf numFmtId="0" fontId="0" fillId="3" borderId="35" xfId="0" applyFill="1" applyBorder="1" applyAlignment="1">
      <alignment horizontal="left"/>
    </xf>
    <xf numFmtId="0" fontId="0" fillId="0" borderId="23" xfId="0" applyBorder="1"/>
    <xf numFmtId="0" fontId="0" fillId="3" borderId="41" xfId="0" applyFill="1" applyBorder="1" applyAlignment="1">
      <alignment horizontal="left"/>
    </xf>
    <xf numFmtId="0" fontId="0" fillId="3" borderId="37" xfId="0" applyFill="1" applyBorder="1" applyAlignment="1">
      <alignment horizontal="left"/>
    </xf>
    <xf numFmtId="0" fontId="0" fillId="3" borderId="35" xfId="0" applyFill="1" applyBorder="1" applyAlignment="1">
      <alignment horizontal="left"/>
    </xf>
    <xf numFmtId="0" fontId="0" fillId="3" borderId="37" xfId="0" applyFill="1" applyBorder="1" applyAlignment="1">
      <alignment horizontal="left"/>
    </xf>
    <xf numFmtId="0" fontId="1" fillId="3" borderId="10" xfId="0" applyFont="1" applyFill="1" applyBorder="1" applyAlignment="1">
      <alignment horizontal="center"/>
    </xf>
    <xf numFmtId="0" fontId="1" fillId="3" borderId="23" xfId="0" applyFont="1" applyFill="1" applyBorder="1" applyAlignment="1">
      <alignment horizontal="center" vertical="center"/>
    </xf>
    <xf numFmtId="0" fontId="1" fillId="3" borderId="33" xfId="0" applyFont="1" applyFill="1" applyBorder="1" applyAlignment="1">
      <alignment horizontal="center" vertical="center"/>
    </xf>
    <xf numFmtId="0" fontId="1" fillId="3" borderId="32" xfId="0" applyFont="1" applyFill="1" applyBorder="1" applyAlignment="1">
      <alignment horizontal="center" vertical="center"/>
    </xf>
    <xf numFmtId="0" fontId="0" fillId="2" borderId="6" xfId="0" applyFill="1" applyBorder="1" applyAlignment="1">
      <alignment horizontal="center"/>
    </xf>
    <xf numFmtId="0" fontId="0" fillId="2" borderId="1" xfId="0" applyFill="1" applyBorder="1" applyAlignment="1">
      <alignment horizontal="center"/>
    </xf>
    <xf numFmtId="14" fontId="0" fillId="2" borderId="6" xfId="0" applyNumberFormat="1" applyFill="1" applyBorder="1" applyAlignment="1">
      <alignment horizontal="center"/>
    </xf>
    <xf numFmtId="0" fontId="0" fillId="2" borderId="7" xfId="0" applyFill="1" applyBorder="1" applyAlignment="1">
      <alignment horizontal="center"/>
    </xf>
    <xf numFmtId="0" fontId="0" fillId="2" borderId="45" xfId="0" applyFill="1" applyBorder="1" applyAlignment="1">
      <alignment horizontal="center"/>
    </xf>
    <xf numFmtId="0" fontId="1" fillId="2" borderId="5" xfId="0" applyFont="1" applyFill="1" applyBorder="1" applyAlignment="1">
      <alignment horizontal="center"/>
    </xf>
    <xf numFmtId="0" fontId="1" fillId="2" borderId="8" xfId="0" applyFont="1" applyFill="1" applyBorder="1" applyAlignment="1">
      <alignment horizontal="center"/>
    </xf>
    <xf numFmtId="0" fontId="1" fillId="2" borderId="3" xfId="0" applyFont="1" applyFill="1" applyBorder="1" applyAlignment="1">
      <alignment horizontal="center"/>
    </xf>
    <xf numFmtId="0" fontId="1" fillId="0" borderId="5" xfId="0" applyFont="1" applyBorder="1" applyAlignment="1">
      <alignment horizontal="left"/>
    </xf>
    <xf numFmtId="0" fontId="1" fillId="0" borderId="8" xfId="0" applyFont="1" applyBorder="1" applyAlignment="1">
      <alignment horizontal="left"/>
    </xf>
    <xf numFmtId="0" fontId="1" fillId="0" borderId="3" xfId="0" applyFont="1" applyBorder="1" applyAlignment="1">
      <alignment horizontal="left"/>
    </xf>
    <xf numFmtId="0" fontId="0" fillId="3" borderId="5" xfId="0" applyFill="1" applyBorder="1" applyAlignment="1">
      <alignment horizontal="left"/>
    </xf>
    <xf numFmtId="0" fontId="0" fillId="3" borderId="8" xfId="0" applyFill="1" applyBorder="1" applyAlignment="1">
      <alignment horizontal="left"/>
    </xf>
    <xf numFmtId="0" fontId="0" fillId="3" borderId="53" xfId="0" applyFill="1" applyBorder="1" applyAlignment="1">
      <alignment horizontal="left"/>
    </xf>
    <xf numFmtId="0" fontId="0" fillId="3" borderId="38" xfId="0" applyFill="1" applyBorder="1" applyAlignment="1">
      <alignment horizontal="left"/>
    </xf>
    <xf numFmtId="0" fontId="0" fillId="3" borderId="42" xfId="0" applyFill="1" applyBorder="1" applyAlignment="1">
      <alignment horizontal="left"/>
    </xf>
    <xf numFmtId="0" fontId="0" fillId="3" borderId="33" xfId="0" applyFill="1" applyBorder="1" applyAlignment="1">
      <alignment horizontal="left"/>
    </xf>
    <xf numFmtId="0" fontId="0" fillId="3" borderId="43" xfId="0" applyFill="1" applyBorder="1" applyAlignment="1">
      <alignment horizontal="left"/>
    </xf>
    <xf numFmtId="0" fontId="0" fillId="3" borderId="36" xfId="0" applyFill="1" applyBorder="1" applyAlignment="1">
      <alignment horizontal="left"/>
    </xf>
    <xf numFmtId="0" fontId="0" fillId="2" borderId="5" xfId="0" applyFill="1" applyBorder="1" applyAlignment="1">
      <alignment horizontal="center"/>
    </xf>
    <xf numFmtId="0" fontId="0" fillId="0" borderId="3" xfId="0" applyBorder="1" applyAlignment="1">
      <alignment horizontal="center"/>
    </xf>
    <xf numFmtId="0" fontId="0" fillId="3" borderId="35" xfId="0" applyFill="1" applyBorder="1" applyAlignment="1">
      <alignment horizontal="left"/>
    </xf>
    <xf numFmtId="0" fontId="0" fillId="0" borderId="1" xfId="0" applyBorder="1" applyAlignment="1">
      <alignment horizontal="center"/>
    </xf>
    <xf numFmtId="0" fontId="1" fillId="0" borderId="14" xfId="0" applyFont="1" applyBorder="1" applyAlignment="1">
      <alignment horizontal="left"/>
    </xf>
    <xf numFmtId="0" fontId="1" fillId="0" borderId="20" xfId="0" applyFont="1" applyBorder="1" applyAlignment="1">
      <alignment horizontal="left"/>
    </xf>
    <xf numFmtId="0" fontId="1" fillId="0" borderId="13" xfId="0" applyFont="1" applyBorder="1" applyAlignment="1">
      <alignment horizontal="left"/>
    </xf>
    <xf numFmtId="0" fontId="0" fillId="3" borderId="23" xfId="0" applyFill="1" applyBorder="1" applyAlignment="1">
      <alignment horizontal="left"/>
    </xf>
    <xf numFmtId="0" fontId="0" fillId="0" borderId="23" xfId="0" applyBorder="1" applyAlignment="1"/>
    <xf numFmtId="0" fontId="0" fillId="0" borderId="35" xfId="0" applyBorder="1" applyAlignment="1"/>
    <xf numFmtId="0" fontId="2" fillId="0" borderId="36" xfId="0" applyFont="1" applyBorder="1" applyAlignment="1">
      <alignment horizontal="center"/>
    </xf>
    <xf numFmtId="0" fontId="2" fillId="0" borderId="37" xfId="0" applyFont="1" applyBorder="1" applyAlignment="1">
      <alignment horizontal="center"/>
    </xf>
    <xf numFmtId="0" fontId="1" fillId="3" borderId="47" xfId="0" applyFont="1" applyFill="1" applyBorder="1" applyAlignment="1">
      <alignment horizontal="right"/>
    </xf>
    <xf numFmtId="0" fontId="1" fillId="3" borderId="46" xfId="0" applyFont="1" applyFill="1" applyBorder="1" applyAlignment="1">
      <alignment horizontal="right"/>
    </xf>
    <xf numFmtId="0" fontId="1" fillId="3" borderId="5" xfId="0" applyFont="1" applyFill="1" applyBorder="1" applyAlignment="1">
      <alignment horizontal="right"/>
    </xf>
    <xf numFmtId="0" fontId="1" fillId="3" borderId="59" xfId="0" applyFont="1" applyFill="1" applyBorder="1" applyAlignment="1">
      <alignment horizontal="right"/>
    </xf>
    <xf numFmtId="0" fontId="1" fillId="3" borderId="56" xfId="0" applyFont="1" applyFill="1" applyBorder="1" applyAlignment="1">
      <alignment horizontal="right"/>
    </xf>
    <xf numFmtId="0" fontId="1" fillId="3" borderId="57" xfId="0" applyFont="1" applyFill="1" applyBorder="1" applyAlignment="1">
      <alignment horizontal="right"/>
    </xf>
    <xf numFmtId="0" fontId="1" fillId="3" borderId="54" xfId="0" applyFont="1" applyFill="1" applyBorder="1" applyAlignment="1">
      <alignment horizontal="right"/>
    </xf>
    <xf numFmtId="0" fontId="1" fillId="3" borderId="55" xfId="0" applyFont="1" applyFill="1" applyBorder="1" applyAlignment="1">
      <alignment horizontal="right"/>
    </xf>
    <xf numFmtId="0" fontId="0" fillId="3" borderId="37" xfId="0" applyFill="1" applyBorder="1" applyAlignment="1">
      <alignment horizontal="left"/>
    </xf>
    <xf numFmtId="0" fontId="1" fillId="2" borderId="4" xfId="0" applyFont="1" applyFill="1" applyBorder="1" applyAlignment="1">
      <alignment horizontal="center"/>
    </xf>
    <xf numFmtId="0" fontId="1" fillId="2" borderId="9" xfId="0" applyFont="1" applyFill="1" applyBorder="1" applyAlignment="1">
      <alignment horizontal="center"/>
    </xf>
    <xf numFmtId="0" fontId="1" fillId="2" borderId="2" xfId="0" applyFont="1" applyFill="1" applyBorder="1" applyAlignment="1">
      <alignment horizontal="center"/>
    </xf>
    <xf numFmtId="0" fontId="0" fillId="3" borderId="40" xfId="0" applyFill="1" applyBorder="1" applyAlignment="1">
      <alignment horizontal="left"/>
    </xf>
    <xf numFmtId="0" fontId="0" fillId="3" borderId="41" xfId="0" applyFill="1" applyBorder="1" applyAlignment="1">
      <alignment horizontal="left"/>
    </xf>
    <xf numFmtId="0" fontId="0" fillId="2" borderId="3" xfId="0" applyFill="1" applyBorder="1" applyAlignment="1">
      <alignment horizontal="center"/>
    </xf>
    <xf numFmtId="0" fontId="7" fillId="2" borderId="28" xfId="0" applyFont="1" applyFill="1" applyBorder="1" applyAlignment="1">
      <alignment horizontal="center" vertical="center"/>
    </xf>
    <xf numFmtId="0" fontId="7" fillId="2" borderId="29" xfId="0" applyFont="1" applyFill="1" applyBorder="1" applyAlignment="1">
      <alignment horizontal="center" vertical="center"/>
    </xf>
    <xf numFmtId="1" fontId="7" fillId="2" borderId="26" xfId="0" applyNumberFormat="1" applyFont="1" applyFill="1" applyBorder="1" applyAlignment="1">
      <alignment horizontal="center" vertical="center"/>
    </xf>
    <xf numFmtId="1" fontId="7" fillId="2" borderId="27" xfId="0" applyNumberFormat="1" applyFont="1" applyFill="1" applyBorder="1" applyAlignment="1">
      <alignment horizontal="center" vertical="center"/>
    </xf>
    <xf numFmtId="1" fontId="7" fillId="2" borderId="28" xfId="0" applyNumberFormat="1" applyFont="1" applyFill="1" applyBorder="1" applyAlignment="1">
      <alignment horizontal="center" vertical="center"/>
    </xf>
    <xf numFmtId="1" fontId="7" fillId="2" borderId="29" xfId="0" applyNumberFormat="1" applyFont="1" applyFill="1" applyBorder="1" applyAlignment="1">
      <alignment horizontal="center" vertical="center"/>
    </xf>
    <xf numFmtId="0" fontId="8" fillId="2" borderId="61" xfId="0" applyFont="1" applyFill="1" applyBorder="1" applyAlignment="1">
      <alignment horizontal="center"/>
    </xf>
    <xf numFmtId="0" fontId="5" fillId="2" borderId="26" xfId="0" applyFont="1" applyFill="1" applyBorder="1" applyAlignment="1">
      <alignment horizontal="left"/>
    </xf>
    <xf numFmtId="0" fontId="5" fillId="2" borderId="25" xfId="0" applyFont="1" applyFill="1" applyBorder="1" applyAlignment="1">
      <alignment horizontal="left"/>
    </xf>
    <xf numFmtId="1" fontId="8" fillId="2" borderId="61" xfId="0" applyNumberFormat="1" applyFont="1" applyFill="1" applyBorder="1" applyAlignment="1">
      <alignment horizontal="left"/>
    </xf>
    <xf numFmtId="1" fontId="1" fillId="0" borderId="61" xfId="0" applyNumberFormat="1" applyFont="1" applyBorder="1" applyAlignment="1"/>
    <xf numFmtId="0" fontId="25" fillId="3" borderId="23" xfId="0" applyFont="1" applyFill="1" applyBorder="1" applyAlignment="1">
      <alignment horizontal="center"/>
    </xf>
    <xf numFmtId="0" fontId="25" fillId="3" borderId="32" xfId="0" applyFont="1" applyFill="1" applyBorder="1" applyAlignment="1">
      <alignment horizontal="center"/>
    </xf>
    <xf numFmtId="0" fontId="7" fillId="2" borderId="26" xfId="0" applyFont="1" applyFill="1" applyBorder="1" applyAlignment="1">
      <alignment horizontal="center" vertical="center"/>
    </xf>
    <xf numFmtId="0" fontId="7" fillId="2" borderId="27" xfId="0" applyFont="1" applyFill="1" applyBorder="1" applyAlignment="1">
      <alignment horizontal="center" vertical="center"/>
    </xf>
    <xf numFmtId="0" fontId="25" fillId="3" borderId="33" xfId="0" applyFont="1" applyFill="1" applyBorder="1" applyAlignment="1">
      <alignment horizontal="center"/>
    </xf>
    <xf numFmtId="1" fontId="7" fillId="2" borderId="30" xfId="0" applyNumberFormat="1" applyFont="1" applyFill="1" applyBorder="1" applyAlignment="1">
      <alignment horizontal="center" vertical="center"/>
    </xf>
    <xf numFmtId="1" fontId="7" fillId="2" borderId="31" xfId="0" applyNumberFormat="1" applyFont="1" applyFill="1" applyBorder="1" applyAlignment="1">
      <alignment horizontal="center" vertical="center"/>
    </xf>
    <xf numFmtId="0" fontId="7" fillId="2" borderId="30" xfId="0" applyFont="1" applyFill="1" applyBorder="1" applyAlignment="1">
      <alignment horizontal="center" vertical="center"/>
    </xf>
    <xf numFmtId="0" fontId="7" fillId="2" borderId="31" xfId="0" applyFont="1" applyFill="1" applyBorder="1" applyAlignment="1">
      <alignment horizontal="center" vertical="center"/>
    </xf>
    <xf numFmtId="0" fontId="0" fillId="3" borderId="30" xfId="0" applyFill="1" applyBorder="1" applyAlignment="1">
      <alignment horizontal="left"/>
    </xf>
    <xf numFmtId="0" fontId="0" fillId="3" borderId="24" xfId="0" applyFill="1" applyBorder="1" applyAlignment="1">
      <alignment horizontal="left"/>
    </xf>
    <xf numFmtId="0" fontId="0" fillId="2" borderId="29" xfId="0" applyFill="1" applyBorder="1" applyAlignment="1">
      <alignment horizontal="center"/>
    </xf>
    <xf numFmtId="0" fontId="0" fillId="2" borderId="25" xfId="0" applyFill="1" applyBorder="1" applyAlignment="1">
      <alignment horizontal="center"/>
    </xf>
    <xf numFmtId="0" fontId="0" fillId="2" borderId="27" xfId="0" applyFill="1" applyBorder="1" applyAlignment="1">
      <alignment horizontal="center"/>
    </xf>
    <xf numFmtId="0" fontId="0" fillId="2" borderId="39" xfId="0" applyFill="1" applyBorder="1" applyAlignment="1">
      <alignment horizontal="center"/>
    </xf>
    <xf numFmtId="0" fontId="0" fillId="5" borderId="23" xfId="0" applyFill="1" applyBorder="1" applyAlignment="1">
      <alignment horizontal="left" vertical="top" wrapText="1"/>
    </xf>
    <xf numFmtId="0" fontId="0" fillId="5" borderId="33" xfId="0" applyFill="1" applyBorder="1" applyAlignment="1">
      <alignment horizontal="left" vertical="top" wrapText="1"/>
    </xf>
    <xf numFmtId="0" fontId="0" fillId="5" borderId="32" xfId="0" applyFill="1" applyBorder="1" applyAlignment="1">
      <alignment horizontal="left" vertical="top" wrapText="1"/>
    </xf>
    <xf numFmtId="0" fontId="0" fillId="5" borderId="30" xfId="0" applyFill="1" applyBorder="1" applyAlignment="1">
      <alignment horizontal="left" vertical="top" wrapText="1"/>
    </xf>
    <xf numFmtId="0" fontId="0" fillId="5" borderId="38" xfId="0" applyFill="1" applyBorder="1" applyAlignment="1">
      <alignment horizontal="left" vertical="top" wrapText="1"/>
    </xf>
    <xf numFmtId="0" fontId="0" fillId="5" borderId="31" xfId="0" applyFill="1" applyBorder="1" applyAlignment="1">
      <alignment horizontal="left" vertical="top" wrapText="1"/>
    </xf>
    <xf numFmtId="0" fontId="9" fillId="2" borderId="25" xfId="0" applyFont="1" applyFill="1" applyBorder="1" applyAlignment="1">
      <alignment horizontal="center"/>
    </xf>
    <xf numFmtId="0" fontId="9" fillId="2" borderId="27" xfId="0"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3399FF"/>
      <color rgb="FFFF9900"/>
      <color rgb="FFD4782C"/>
      <color rgb="FF99CCFF"/>
      <color rgb="FFEAEA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15</c:v>
                </c:pt>
                <c:pt idx="14">
                  <c:v>13</c:v>
                </c:pt>
                <c:pt idx="15">
                  <c:v>16</c:v>
                </c:pt>
                <c:pt idx="16">
                  <c:v>25</c:v>
                </c:pt>
                <c:pt idx="17">
                  <c:v>5</c:v>
                </c:pt>
                <c:pt idx="18">
                  <c:v>11</c:v>
                </c:pt>
                <c:pt idx="19">
                  <c:v>5</c:v>
                </c:pt>
                <c:pt idx="20">
                  <c:v>19</c:v>
                </c:pt>
                <c:pt idx="21">
                  <c:v>2</c:v>
                </c:pt>
                <c:pt idx="22">
                  <c:v>16</c:v>
                </c:pt>
                <c:pt idx="23">
                  <c:v>3</c:v>
                </c:pt>
                <c:pt idx="24">
                  <c:v>14</c:v>
                </c:pt>
                <c:pt idx="25">
                  <c:v>16</c:v>
                </c:pt>
                <c:pt idx="26">
                  <c:v>17</c:v>
                </c:pt>
                <c:pt idx="27">
                  <c:v>15</c:v>
                </c:pt>
                <c:pt idx="28">
                  <c:v>5</c:v>
                </c:pt>
                <c:pt idx="29">
                  <c:v>12</c:v>
                </c:pt>
                <c:pt idx="30">
                  <c:v>10</c:v>
                </c:pt>
                <c:pt idx="31">
                  <c:v>23</c:v>
                </c:pt>
                <c:pt idx="32">
                  <c:v>8</c:v>
                </c:pt>
                <c:pt idx="33">
                  <c:v>5</c:v>
                </c:pt>
                <c:pt idx="34">
                  <c:v>12</c:v>
                </c:pt>
                <c:pt idx="35">
                  <c:v>2</c:v>
                </c:pt>
                <c:pt idx="36">
                  <c:v>20</c:v>
                </c:pt>
                <c:pt idx="37">
                  <c:v>1</c:v>
                </c:pt>
                <c:pt idx="38">
                  <c:v>3</c:v>
                </c:pt>
                <c:pt idx="39">
                  <c:v>3</c:v>
                </c:pt>
              </c:numCache>
            </c:numRef>
          </c:val>
          <c:extLst>
            <c:ext xmlns:c16="http://schemas.microsoft.com/office/drawing/2014/chart" uri="{C3380CC4-5D6E-409C-BE32-E72D297353CC}">
              <c16:uniqueId val="{00000000-4730-4D5C-A700-8C95D5683B06}"/>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15</c:v>
                </c:pt>
                <c:pt idx="14">
                  <c:v>13</c:v>
                </c:pt>
                <c:pt idx="15">
                  <c:v>16</c:v>
                </c:pt>
                <c:pt idx="16">
                  <c:v>25</c:v>
                </c:pt>
                <c:pt idx="17">
                  <c:v>5</c:v>
                </c:pt>
                <c:pt idx="18">
                  <c:v>11</c:v>
                </c:pt>
                <c:pt idx="19">
                  <c:v>5</c:v>
                </c:pt>
                <c:pt idx="20">
                  <c:v>19</c:v>
                </c:pt>
                <c:pt idx="21">
                  <c:v>2</c:v>
                </c:pt>
                <c:pt idx="22">
                  <c:v>16</c:v>
                </c:pt>
                <c:pt idx="23">
                  <c:v>3</c:v>
                </c:pt>
                <c:pt idx="24">
                  <c:v>14</c:v>
                </c:pt>
                <c:pt idx="25">
                  <c:v>16</c:v>
                </c:pt>
                <c:pt idx="26">
                  <c:v>17</c:v>
                </c:pt>
                <c:pt idx="27">
                  <c:v>15</c:v>
                </c:pt>
                <c:pt idx="28">
                  <c:v>5</c:v>
                </c:pt>
                <c:pt idx="29">
                  <c:v>12</c:v>
                </c:pt>
                <c:pt idx="30">
                  <c:v>10</c:v>
                </c:pt>
                <c:pt idx="31">
                  <c:v>23</c:v>
                </c:pt>
                <c:pt idx="32">
                  <c:v>8</c:v>
                </c:pt>
                <c:pt idx="33">
                  <c:v>5</c:v>
                </c:pt>
                <c:pt idx="34">
                  <c:v>12</c:v>
                </c:pt>
                <c:pt idx="35">
                  <c:v>2</c:v>
                </c:pt>
                <c:pt idx="36">
                  <c:v>20</c:v>
                </c:pt>
                <c:pt idx="37">
                  <c:v>1</c:v>
                </c:pt>
                <c:pt idx="38">
                  <c:v>3</c:v>
                </c:pt>
                <c:pt idx="39">
                  <c:v>3</c:v>
                </c:pt>
              </c:numCache>
            </c:numRef>
          </c:val>
          <c:extLst>
            <c:ext xmlns:c16="http://schemas.microsoft.com/office/drawing/2014/chart" uri="{C3380CC4-5D6E-409C-BE32-E72D297353CC}">
              <c16:uniqueId val="{00000001-4730-4D5C-A700-8C95D5683B06}"/>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('2019 Bull Kelp Datasheet Site1'!$E$16:$E$35,'2019 Bull Kelp Datasheet Site1'!$J$16:$J$35)</c:f>
              <c:numCache>
                <c:formatCode>General</c:formatCode>
                <c:ptCount val="40"/>
                <c:pt idx="0">
                  <c:v>59.1</c:v>
                </c:pt>
                <c:pt idx="1">
                  <c:v>53.3</c:v>
                </c:pt>
                <c:pt idx="2">
                  <c:v>58</c:v>
                </c:pt>
                <c:pt idx="3">
                  <c:v>45</c:v>
                </c:pt>
                <c:pt idx="4">
                  <c:v>59.1</c:v>
                </c:pt>
                <c:pt idx="5">
                  <c:v>59.8</c:v>
                </c:pt>
                <c:pt idx="6">
                  <c:v>44.1</c:v>
                </c:pt>
                <c:pt idx="7">
                  <c:v>46.9</c:v>
                </c:pt>
                <c:pt idx="8">
                  <c:v>50.5</c:v>
                </c:pt>
                <c:pt idx="9">
                  <c:v>50.3</c:v>
                </c:pt>
                <c:pt idx="10">
                  <c:v>52.6</c:v>
                </c:pt>
                <c:pt idx="11">
                  <c:v>57.2</c:v>
                </c:pt>
                <c:pt idx="12">
                  <c:v>59.9</c:v>
                </c:pt>
                <c:pt idx="13">
                  <c:v>57.3</c:v>
                </c:pt>
                <c:pt idx="14">
                  <c:v>60</c:v>
                </c:pt>
                <c:pt idx="15">
                  <c:v>57.4</c:v>
                </c:pt>
                <c:pt idx="16">
                  <c:v>60.1</c:v>
                </c:pt>
                <c:pt idx="17">
                  <c:v>57.5</c:v>
                </c:pt>
                <c:pt idx="18">
                  <c:v>60.2</c:v>
                </c:pt>
                <c:pt idx="19">
                  <c:v>57.6</c:v>
                </c:pt>
                <c:pt idx="20">
                  <c:v>59.1</c:v>
                </c:pt>
                <c:pt idx="21">
                  <c:v>56.2</c:v>
                </c:pt>
                <c:pt idx="22">
                  <c:v>66.599999999999994</c:v>
                </c:pt>
                <c:pt idx="23">
                  <c:v>52.8</c:v>
                </c:pt>
                <c:pt idx="24">
                  <c:v>49.8</c:v>
                </c:pt>
                <c:pt idx="25">
                  <c:v>50.7</c:v>
                </c:pt>
                <c:pt idx="26">
                  <c:v>47.7</c:v>
                </c:pt>
                <c:pt idx="27">
                  <c:v>57.1</c:v>
                </c:pt>
                <c:pt idx="28">
                  <c:v>53.2</c:v>
                </c:pt>
                <c:pt idx="29">
                  <c:v>53.7</c:v>
                </c:pt>
                <c:pt idx="30">
                  <c:v>49.1</c:v>
                </c:pt>
                <c:pt idx="31">
                  <c:v>49</c:v>
                </c:pt>
                <c:pt idx="32">
                  <c:v>46</c:v>
                </c:pt>
                <c:pt idx="33">
                  <c:v>48</c:v>
                </c:pt>
                <c:pt idx="34">
                  <c:v>58.1</c:v>
                </c:pt>
                <c:pt idx="35">
                  <c:v>68.2</c:v>
                </c:pt>
                <c:pt idx="36">
                  <c:v>50.4</c:v>
                </c:pt>
                <c:pt idx="37">
                  <c:v>45.5</c:v>
                </c:pt>
                <c:pt idx="38">
                  <c:v>43.8</c:v>
                </c:pt>
                <c:pt idx="39">
                  <c:v>54.3</c:v>
                </c:pt>
              </c:numCache>
            </c:numRef>
          </c:val>
          <c:extLst>
            <c:ext xmlns:c16="http://schemas.microsoft.com/office/drawing/2014/chart" uri="{C3380CC4-5D6E-409C-BE32-E72D297353CC}">
              <c16:uniqueId val="{00000002-4730-4D5C-A700-8C95D5683B06}"/>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solidFill>
                <a:srgbClr val="FF9900"/>
              </a:solidFill>
            </a:ln>
            <a:effectLst/>
          </c:spPr>
          <c:invertIfNegative val="0"/>
          <c:val>
            <c:numRef>
              <c:f>('2019 Bull Kelp Datasheet Site2'!$C$16:$C$35,'2019 Bull Kelp Datasheet Site2'!$H$16:$H$35)</c:f>
              <c:numCache>
                <c:formatCode>General</c:formatCode>
                <c:ptCount val="40"/>
                <c:pt idx="0">
                  <c:v>5</c:v>
                </c:pt>
                <c:pt idx="1">
                  <c:v>15</c:v>
                </c:pt>
                <c:pt idx="2">
                  <c:v>10</c:v>
                </c:pt>
                <c:pt idx="3">
                  <c:v>3</c:v>
                </c:pt>
                <c:pt idx="4">
                  <c:v>8</c:v>
                </c:pt>
                <c:pt idx="5">
                  <c:v>4</c:v>
                </c:pt>
                <c:pt idx="6">
                  <c:v>10</c:v>
                </c:pt>
                <c:pt idx="7">
                  <c:v>13</c:v>
                </c:pt>
                <c:pt idx="8">
                  <c:v>19</c:v>
                </c:pt>
                <c:pt idx="9">
                  <c:v>8</c:v>
                </c:pt>
                <c:pt idx="10">
                  <c:v>18</c:v>
                </c:pt>
                <c:pt idx="11">
                  <c:v>9</c:v>
                </c:pt>
                <c:pt idx="12">
                  <c:v>14</c:v>
                </c:pt>
                <c:pt idx="13">
                  <c:v>5</c:v>
                </c:pt>
                <c:pt idx="14">
                  <c:v>6</c:v>
                </c:pt>
                <c:pt idx="15">
                  <c:v>9</c:v>
                </c:pt>
                <c:pt idx="16">
                  <c:v>12</c:v>
                </c:pt>
                <c:pt idx="17">
                  <c:v>11</c:v>
                </c:pt>
                <c:pt idx="18">
                  <c:v>5</c:v>
                </c:pt>
                <c:pt idx="19">
                  <c:v>8</c:v>
                </c:pt>
                <c:pt idx="20">
                  <c:v>8</c:v>
                </c:pt>
                <c:pt idx="21">
                  <c:v>14</c:v>
                </c:pt>
                <c:pt idx="22">
                  <c:v>6</c:v>
                </c:pt>
                <c:pt idx="23">
                  <c:v>8</c:v>
                </c:pt>
                <c:pt idx="24">
                  <c:v>10</c:v>
                </c:pt>
                <c:pt idx="25">
                  <c:v>12</c:v>
                </c:pt>
              </c:numCache>
            </c:numRef>
          </c:val>
          <c:extLst>
            <c:ext xmlns:c16="http://schemas.microsoft.com/office/drawing/2014/chart" uri="{C3380CC4-5D6E-409C-BE32-E72D297353CC}">
              <c16:uniqueId val="{00000000-2C2F-409F-BBF9-D3199D9F839C}"/>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15</c:v>
                </c:pt>
                <c:pt idx="14">
                  <c:v>13</c:v>
                </c:pt>
                <c:pt idx="15">
                  <c:v>16</c:v>
                </c:pt>
                <c:pt idx="16">
                  <c:v>25</c:v>
                </c:pt>
                <c:pt idx="17">
                  <c:v>5</c:v>
                </c:pt>
                <c:pt idx="18">
                  <c:v>11</c:v>
                </c:pt>
                <c:pt idx="19">
                  <c:v>5</c:v>
                </c:pt>
                <c:pt idx="20">
                  <c:v>19</c:v>
                </c:pt>
                <c:pt idx="21">
                  <c:v>2</c:v>
                </c:pt>
                <c:pt idx="22">
                  <c:v>16</c:v>
                </c:pt>
                <c:pt idx="23">
                  <c:v>3</c:v>
                </c:pt>
                <c:pt idx="24">
                  <c:v>14</c:v>
                </c:pt>
                <c:pt idx="25">
                  <c:v>16</c:v>
                </c:pt>
                <c:pt idx="26">
                  <c:v>17</c:v>
                </c:pt>
                <c:pt idx="27">
                  <c:v>15</c:v>
                </c:pt>
                <c:pt idx="28">
                  <c:v>5</c:v>
                </c:pt>
                <c:pt idx="29">
                  <c:v>12</c:v>
                </c:pt>
                <c:pt idx="30">
                  <c:v>10</c:v>
                </c:pt>
                <c:pt idx="31">
                  <c:v>23</c:v>
                </c:pt>
                <c:pt idx="32">
                  <c:v>8</c:v>
                </c:pt>
                <c:pt idx="33">
                  <c:v>5</c:v>
                </c:pt>
                <c:pt idx="34">
                  <c:v>12</c:v>
                </c:pt>
                <c:pt idx="35">
                  <c:v>2</c:v>
                </c:pt>
                <c:pt idx="36">
                  <c:v>20</c:v>
                </c:pt>
                <c:pt idx="37">
                  <c:v>1</c:v>
                </c:pt>
                <c:pt idx="38">
                  <c:v>3</c:v>
                </c:pt>
                <c:pt idx="39">
                  <c:v>3</c:v>
                </c:pt>
              </c:numCache>
            </c:numRef>
          </c:val>
          <c:extLst>
            <c:ext xmlns:c16="http://schemas.microsoft.com/office/drawing/2014/chart" uri="{C3380CC4-5D6E-409C-BE32-E72D297353CC}">
              <c16:uniqueId val="{00000001-2C2F-409F-BBF9-D3199D9F839C}"/>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('2019 Bull Kelp Datasheet Site2'!$E$16:$E$35,'2019 Bull Kelp Datasheet Site2'!$J$16:$J$35)</c:f>
              <c:numCache>
                <c:formatCode>General</c:formatCode>
                <c:ptCount val="40"/>
                <c:pt idx="0">
                  <c:v>59.7</c:v>
                </c:pt>
                <c:pt idx="1">
                  <c:v>49.5</c:v>
                </c:pt>
                <c:pt idx="2">
                  <c:v>49.2</c:v>
                </c:pt>
                <c:pt idx="3">
                  <c:v>52.9</c:v>
                </c:pt>
                <c:pt idx="4">
                  <c:v>48.8</c:v>
                </c:pt>
                <c:pt idx="5">
                  <c:v>55.9</c:v>
                </c:pt>
                <c:pt idx="6">
                  <c:v>55.5</c:v>
                </c:pt>
                <c:pt idx="7">
                  <c:v>61.6</c:v>
                </c:pt>
                <c:pt idx="8">
                  <c:v>46.9</c:v>
                </c:pt>
                <c:pt idx="9">
                  <c:v>59.8</c:v>
                </c:pt>
                <c:pt idx="10">
                  <c:v>43.1</c:v>
                </c:pt>
                <c:pt idx="11">
                  <c:v>47</c:v>
                </c:pt>
                <c:pt idx="12">
                  <c:v>45.3</c:v>
                </c:pt>
                <c:pt idx="13">
                  <c:v>47.3</c:v>
                </c:pt>
                <c:pt idx="14">
                  <c:v>53.6</c:v>
                </c:pt>
                <c:pt idx="15">
                  <c:v>60.7</c:v>
                </c:pt>
                <c:pt idx="16">
                  <c:v>52.3</c:v>
                </c:pt>
                <c:pt idx="17">
                  <c:v>51.6</c:v>
                </c:pt>
                <c:pt idx="18">
                  <c:v>46.2</c:v>
                </c:pt>
                <c:pt idx="19">
                  <c:v>58.9</c:v>
                </c:pt>
                <c:pt idx="20">
                  <c:v>47.9</c:v>
                </c:pt>
                <c:pt idx="21">
                  <c:v>49.7</c:v>
                </c:pt>
                <c:pt idx="22">
                  <c:v>47.8</c:v>
                </c:pt>
                <c:pt idx="23">
                  <c:v>59.7</c:v>
                </c:pt>
                <c:pt idx="24">
                  <c:v>53.9</c:v>
                </c:pt>
                <c:pt idx="25">
                  <c:v>55.3</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2C2F-409F-BBF9-D3199D9F839C}"/>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solidFill>
                <a:srgbClr val="FF9900"/>
              </a:solidFill>
            </a:ln>
            <a:effectLst/>
          </c:spPr>
          <c:invertIfNegative val="0"/>
          <c:val>
            <c:numRef>
              <c:f>('2019 Bull Kelp Datasheet Site3'!$C$16:$C$35,'2019 Bull Kelp Datasheet Site3'!$H$16:$H$35)</c:f>
              <c:numCache>
                <c:formatCode>General</c:formatCode>
                <c:ptCount val="40"/>
                <c:pt idx="0">
                  <c:v>5</c:v>
                </c:pt>
                <c:pt idx="1">
                  <c:v>15</c:v>
                </c:pt>
                <c:pt idx="2">
                  <c:v>10</c:v>
                </c:pt>
                <c:pt idx="3">
                  <c:v>3</c:v>
                </c:pt>
                <c:pt idx="4">
                  <c:v>8</c:v>
                </c:pt>
                <c:pt idx="5">
                  <c:v>4</c:v>
                </c:pt>
                <c:pt idx="6">
                  <c:v>10</c:v>
                </c:pt>
                <c:pt idx="7">
                  <c:v>13</c:v>
                </c:pt>
                <c:pt idx="8">
                  <c:v>19</c:v>
                </c:pt>
                <c:pt idx="9">
                  <c:v>8</c:v>
                </c:pt>
                <c:pt idx="10">
                  <c:v>10</c:v>
                </c:pt>
                <c:pt idx="11">
                  <c:v>15</c:v>
                </c:pt>
                <c:pt idx="12">
                  <c:v>12</c:v>
                </c:pt>
                <c:pt idx="13">
                  <c:v>7</c:v>
                </c:pt>
                <c:pt idx="14">
                  <c:v>3</c:v>
                </c:pt>
                <c:pt idx="15">
                  <c:v>10</c:v>
                </c:pt>
                <c:pt idx="16">
                  <c:v>23</c:v>
                </c:pt>
                <c:pt idx="17">
                  <c:v>15</c:v>
                </c:pt>
                <c:pt idx="18">
                  <c:v>17</c:v>
                </c:pt>
                <c:pt idx="19">
                  <c:v>13</c:v>
                </c:pt>
                <c:pt idx="20">
                  <c:v>21</c:v>
                </c:pt>
                <c:pt idx="21">
                  <c:v>17</c:v>
                </c:pt>
                <c:pt idx="22">
                  <c:v>9</c:v>
                </c:pt>
                <c:pt idx="23">
                  <c:v>24</c:v>
                </c:pt>
                <c:pt idx="24">
                  <c:v>6</c:v>
                </c:pt>
                <c:pt idx="25">
                  <c:v>19</c:v>
                </c:pt>
                <c:pt idx="26">
                  <c:v>24</c:v>
                </c:pt>
                <c:pt idx="27">
                  <c:v>13</c:v>
                </c:pt>
                <c:pt idx="28">
                  <c:v>16</c:v>
                </c:pt>
                <c:pt idx="29">
                  <c:v>23</c:v>
                </c:pt>
                <c:pt idx="30">
                  <c:v>20</c:v>
                </c:pt>
                <c:pt idx="31">
                  <c:v>14</c:v>
                </c:pt>
                <c:pt idx="32">
                  <c:v>15</c:v>
                </c:pt>
                <c:pt idx="33">
                  <c:v>23</c:v>
                </c:pt>
                <c:pt idx="34">
                  <c:v>14</c:v>
                </c:pt>
                <c:pt idx="35">
                  <c:v>13</c:v>
                </c:pt>
                <c:pt idx="36">
                  <c:v>12</c:v>
                </c:pt>
                <c:pt idx="37">
                  <c:v>24</c:v>
                </c:pt>
                <c:pt idx="38">
                  <c:v>8</c:v>
                </c:pt>
                <c:pt idx="39">
                  <c:v>2</c:v>
                </c:pt>
              </c:numCache>
            </c:numRef>
          </c:val>
          <c:extLst>
            <c:ext xmlns:c16="http://schemas.microsoft.com/office/drawing/2014/chart" uri="{C3380CC4-5D6E-409C-BE32-E72D297353CC}">
              <c16:uniqueId val="{00000000-C401-4A1C-AC1A-E7084928B8A0}"/>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15</c:v>
                </c:pt>
                <c:pt idx="14">
                  <c:v>13</c:v>
                </c:pt>
                <c:pt idx="15">
                  <c:v>16</c:v>
                </c:pt>
                <c:pt idx="16">
                  <c:v>25</c:v>
                </c:pt>
                <c:pt idx="17">
                  <c:v>5</c:v>
                </c:pt>
                <c:pt idx="18">
                  <c:v>11</c:v>
                </c:pt>
                <c:pt idx="19">
                  <c:v>5</c:v>
                </c:pt>
                <c:pt idx="20">
                  <c:v>19</c:v>
                </c:pt>
                <c:pt idx="21">
                  <c:v>2</c:v>
                </c:pt>
                <c:pt idx="22">
                  <c:v>16</c:v>
                </c:pt>
                <c:pt idx="23">
                  <c:v>3</c:v>
                </c:pt>
                <c:pt idx="24">
                  <c:v>14</c:v>
                </c:pt>
                <c:pt idx="25">
                  <c:v>16</c:v>
                </c:pt>
                <c:pt idx="26">
                  <c:v>17</c:v>
                </c:pt>
                <c:pt idx="27">
                  <c:v>15</c:v>
                </c:pt>
                <c:pt idx="28">
                  <c:v>5</c:v>
                </c:pt>
                <c:pt idx="29">
                  <c:v>12</c:v>
                </c:pt>
                <c:pt idx="30">
                  <c:v>10</c:v>
                </c:pt>
                <c:pt idx="31">
                  <c:v>23</c:v>
                </c:pt>
                <c:pt idx="32">
                  <c:v>8</c:v>
                </c:pt>
                <c:pt idx="33">
                  <c:v>5</c:v>
                </c:pt>
                <c:pt idx="34">
                  <c:v>12</c:v>
                </c:pt>
                <c:pt idx="35">
                  <c:v>2</c:v>
                </c:pt>
                <c:pt idx="36">
                  <c:v>20</c:v>
                </c:pt>
                <c:pt idx="37">
                  <c:v>1</c:v>
                </c:pt>
                <c:pt idx="38">
                  <c:v>3</c:v>
                </c:pt>
                <c:pt idx="39">
                  <c:v>3</c:v>
                </c:pt>
              </c:numCache>
            </c:numRef>
          </c:val>
          <c:extLst>
            <c:ext xmlns:c16="http://schemas.microsoft.com/office/drawing/2014/chart" uri="{C3380CC4-5D6E-409C-BE32-E72D297353CC}">
              <c16:uniqueId val="{00000001-C401-4A1C-AC1A-E7084928B8A0}"/>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('2019 Bull Kelp Datasheet Site3'!$E$16:$E$35,'2019 Bull Kelp Datasheet Site3'!$J$16:$J$35)</c:f>
              <c:numCache>
                <c:formatCode>General</c:formatCode>
                <c:ptCount val="40"/>
                <c:pt idx="0">
                  <c:v>58.4</c:v>
                </c:pt>
                <c:pt idx="1">
                  <c:v>49.2</c:v>
                </c:pt>
                <c:pt idx="2">
                  <c:v>54.6</c:v>
                </c:pt>
                <c:pt idx="3">
                  <c:v>51.6</c:v>
                </c:pt>
                <c:pt idx="4">
                  <c:v>58</c:v>
                </c:pt>
                <c:pt idx="5">
                  <c:v>53.4</c:v>
                </c:pt>
                <c:pt idx="6">
                  <c:v>49.8</c:v>
                </c:pt>
                <c:pt idx="7">
                  <c:v>41.4</c:v>
                </c:pt>
                <c:pt idx="8">
                  <c:v>46.2</c:v>
                </c:pt>
                <c:pt idx="9">
                  <c:v>48.9</c:v>
                </c:pt>
                <c:pt idx="10">
                  <c:v>56.2</c:v>
                </c:pt>
                <c:pt idx="11">
                  <c:v>55.1</c:v>
                </c:pt>
                <c:pt idx="12">
                  <c:v>33.9</c:v>
                </c:pt>
                <c:pt idx="13">
                  <c:v>48.8</c:v>
                </c:pt>
                <c:pt idx="14">
                  <c:v>69.2</c:v>
                </c:pt>
                <c:pt idx="15">
                  <c:v>47.3</c:v>
                </c:pt>
                <c:pt idx="16">
                  <c:v>48.4</c:v>
                </c:pt>
                <c:pt idx="17">
                  <c:v>51.6</c:v>
                </c:pt>
                <c:pt idx="18">
                  <c:v>51.1</c:v>
                </c:pt>
                <c:pt idx="19">
                  <c:v>47.8</c:v>
                </c:pt>
                <c:pt idx="20">
                  <c:v>54.3</c:v>
                </c:pt>
                <c:pt idx="21">
                  <c:v>49.7</c:v>
                </c:pt>
                <c:pt idx="22">
                  <c:v>57.5</c:v>
                </c:pt>
                <c:pt idx="23">
                  <c:v>50.3</c:v>
                </c:pt>
                <c:pt idx="24">
                  <c:v>50.3</c:v>
                </c:pt>
                <c:pt idx="25">
                  <c:v>45.7</c:v>
                </c:pt>
                <c:pt idx="26">
                  <c:v>58.2</c:v>
                </c:pt>
                <c:pt idx="27">
                  <c:v>46.4</c:v>
                </c:pt>
                <c:pt idx="28">
                  <c:v>46.5</c:v>
                </c:pt>
                <c:pt idx="29">
                  <c:v>60</c:v>
                </c:pt>
                <c:pt idx="30">
                  <c:v>49.4</c:v>
                </c:pt>
                <c:pt idx="31">
                  <c:v>60</c:v>
                </c:pt>
                <c:pt idx="32">
                  <c:v>41</c:v>
                </c:pt>
                <c:pt idx="33">
                  <c:v>41.2</c:v>
                </c:pt>
                <c:pt idx="34">
                  <c:v>51.1</c:v>
                </c:pt>
                <c:pt idx="35">
                  <c:v>59.6</c:v>
                </c:pt>
                <c:pt idx="36">
                  <c:v>49.6</c:v>
                </c:pt>
                <c:pt idx="37">
                  <c:v>55.1</c:v>
                </c:pt>
                <c:pt idx="38">
                  <c:v>60.9</c:v>
                </c:pt>
                <c:pt idx="39">
                  <c:v>56.9</c:v>
                </c:pt>
              </c:numCache>
            </c:numRef>
          </c:val>
          <c:extLst>
            <c:ext xmlns:c16="http://schemas.microsoft.com/office/drawing/2014/chart" uri="{C3380CC4-5D6E-409C-BE32-E72D297353CC}">
              <c16:uniqueId val="{00000002-C401-4A1C-AC1A-E7084928B8A0}"/>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solidFill>
                <a:srgbClr val="FF9900"/>
              </a:solidFill>
            </a:ln>
            <a:effectLst/>
          </c:spPr>
          <c:invertIfNegative val="0"/>
          <c:val>
            <c:numRef>
              <c:f>('2019 Bull Kelp Datasheet Site4'!$C$16:$C$35,'2019 Bull Kelp Datasheet Site4'!$H$16:$H$35)</c:f>
              <c:numCache>
                <c:formatCode>General</c:formatCode>
                <c:ptCount val="40"/>
                <c:pt idx="0">
                  <c:v>5</c:v>
                </c:pt>
                <c:pt idx="1">
                  <c:v>15</c:v>
                </c:pt>
                <c:pt idx="2">
                  <c:v>10</c:v>
                </c:pt>
                <c:pt idx="3">
                  <c:v>3</c:v>
                </c:pt>
                <c:pt idx="4">
                  <c:v>8</c:v>
                </c:pt>
                <c:pt idx="5">
                  <c:v>4</c:v>
                </c:pt>
                <c:pt idx="6">
                  <c:v>10</c:v>
                </c:pt>
                <c:pt idx="7">
                  <c:v>13</c:v>
                </c:pt>
                <c:pt idx="8">
                  <c:v>19</c:v>
                </c:pt>
                <c:pt idx="9">
                  <c:v>8</c:v>
                </c:pt>
                <c:pt idx="10">
                  <c:v>10</c:v>
                </c:pt>
                <c:pt idx="11">
                  <c:v>15</c:v>
                </c:pt>
                <c:pt idx="12">
                  <c:v>12</c:v>
                </c:pt>
                <c:pt idx="13">
                  <c:v>1</c:v>
                </c:pt>
                <c:pt idx="14">
                  <c:v>6</c:v>
                </c:pt>
                <c:pt idx="15">
                  <c:v>33</c:v>
                </c:pt>
                <c:pt idx="16">
                  <c:v>2</c:v>
                </c:pt>
                <c:pt idx="17">
                  <c:v>34</c:v>
                </c:pt>
              </c:numCache>
            </c:numRef>
          </c:val>
          <c:extLst>
            <c:ext xmlns:c16="http://schemas.microsoft.com/office/drawing/2014/chart" uri="{C3380CC4-5D6E-409C-BE32-E72D297353CC}">
              <c16:uniqueId val="{00000000-C208-45CC-80CF-04CFC78D9511}"/>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15</c:v>
                </c:pt>
                <c:pt idx="14">
                  <c:v>13</c:v>
                </c:pt>
                <c:pt idx="15">
                  <c:v>16</c:v>
                </c:pt>
                <c:pt idx="16">
                  <c:v>25</c:v>
                </c:pt>
                <c:pt idx="17">
                  <c:v>5</c:v>
                </c:pt>
                <c:pt idx="18">
                  <c:v>11</c:v>
                </c:pt>
                <c:pt idx="19">
                  <c:v>5</c:v>
                </c:pt>
                <c:pt idx="20">
                  <c:v>19</c:v>
                </c:pt>
                <c:pt idx="21">
                  <c:v>2</c:v>
                </c:pt>
                <c:pt idx="22">
                  <c:v>16</c:v>
                </c:pt>
                <c:pt idx="23">
                  <c:v>3</c:v>
                </c:pt>
                <c:pt idx="24">
                  <c:v>14</c:v>
                </c:pt>
                <c:pt idx="25">
                  <c:v>16</c:v>
                </c:pt>
                <c:pt idx="26">
                  <c:v>17</c:v>
                </c:pt>
                <c:pt idx="27">
                  <c:v>15</c:v>
                </c:pt>
                <c:pt idx="28">
                  <c:v>5</c:v>
                </c:pt>
                <c:pt idx="29">
                  <c:v>12</c:v>
                </c:pt>
                <c:pt idx="30">
                  <c:v>10</c:v>
                </c:pt>
                <c:pt idx="31">
                  <c:v>23</c:v>
                </c:pt>
                <c:pt idx="32">
                  <c:v>8</c:v>
                </c:pt>
                <c:pt idx="33">
                  <c:v>5</c:v>
                </c:pt>
                <c:pt idx="34">
                  <c:v>12</c:v>
                </c:pt>
                <c:pt idx="35">
                  <c:v>2</c:v>
                </c:pt>
                <c:pt idx="36">
                  <c:v>20</c:v>
                </c:pt>
                <c:pt idx="37">
                  <c:v>1</c:v>
                </c:pt>
                <c:pt idx="38">
                  <c:v>3</c:v>
                </c:pt>
                <c:pt idx="39">
                  <c:v>3</c:v>
                </c:pt>
              </c:numCache>
            </c:numRef>
          </c:val>
          <c:extLst>
            <c:ext xmlns:c16="http://schemas.microsoft.com/office/drawing/2014/chart" uri="{C3380CC4-5D6E-409C-BE32-E72D297353CC}">
              <c16:uniqueId val="{00000001-C208-45CC-80CF-04CFC78D9511}"/>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('2019 Bull Kelp Datasheet Site4'!$E$16:$E$35,'2019 Bull Kelp Datasheet Site4'!$J$16:$J$35)</c:f>
              <c:numCache>
                <c:formatCode>General</c:formatCode>
                <c:ptCount val="40"/>
                <c:pt idx="0">
                  <c:v>59.8</c:v>
                </c:pt>
                <c:pt idx="1">
                  <c:v>68.900000000000006</c:v>
                </c:pt>
                <c:pt idx="2">
                  <c:v>44.1</c:v>
                </c:pt>
                <c:pt idx="3">
                  <c:v>44.6</c:v>
                </c:pt>
                <c:pt idx="4">
                  <c:v>59.4</c:v>
                </c:pt>
                <c:pt idx="5">
                  <c:v>43.6</c:v>
                </c:pt>
                <c:pt idx="6">
                  <c:v>47.4</c:v>
                </c:pt>
                <c:pt idx="7">
                  <c:v>48.3</c:v>
                </c:pt>
                <c:pt idx="8">
                  <c:v>56.8</c:v>
                </c:pt>
                <c:pt idx="9">
                  <c:v>45</c:v>
                </c:pt>
                <c:pt idx="10">
                  <c:v>44.6</c:v>
                </c:pt>
                <c:pt idx="11">
                  <c:v>45.1</c:v>
                </c:pt>
                <c:pt idx="12">
                  <c:v>58.6</c:v>
                </c:pt>
                <c:pt idx="13">
                  <c:v>53.1</c:v>
                </c:pt>
                <c:pt idx="14">
                  <c:v>50.1</c:v>
                </c:pt>
                <c:pt idx="15">
                  <c:v>54.4</c:v>
                </c:pt>
                <c:pt idx="16">
                  <c:v>44.3</c:v>
                </c:pt>
                <c:pt idx="17">
                  <c:v>32.6</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C208-45CC-80CF-04CFC78D9511}"/>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solidFill>
                <a:srgbClr val="FF9900"/>
              </a:solidFill>
            </a:ln>
            <a:effectLst/>
          </c:spPr>
          <c:invertIfNegative val="0"/>
          <c:val>
            <c:numRef>
              <c:f>('2019 Bull Kelp Datasheet Site5'!$C$16:$C$35,'2019 Bull Kelp Datasheet Site5'!$H$16:$H$35)</c:f>
              <c:numCache>
                <c:formatCode>General</c:formatCode>
                <c:ptCount val="40"/>
                <c:pt idx="0">
                  <c:v>5</c:v>
                </c:pt>
                <c:pt idx="1">
                  <c:v>15</c:v>
                </c:pt>
                <c:pt idx="2">
                  <c:v>10</c:v>
                </c:pt>
                <c:pt idx="3">
                  <c:v>3</c:v>
                </c:pt>
                <c:pt idx="4">
                  <c:v>8</c:v>
                </c:pt>
                <c:pt idx="5">
                  <c:v>4</c:v>
                </c:pt>
                <c:pt idx="6">
                  <c:v>10</c:v>
                </c:pt>
                <c:pt idx="7">
                  <c:v>13</c:v>
                </c:pt>
                <c:pt idx="8">
                  <c:v>19</c:v>
                </c:pt>
                <c:pt idx="9">
                  <c:v>8</c:v>
                </c:pt>
                <c:pt idx="10">
                  <c:v>10</c:v>
                </c:pt>
                <c:pt idx="11">
                  <c:v>15</c:v>
                </c:pt>
                <c:pt idx="12">
                  <c:v>12</c:v>
                </c:pt>
                <c:pt idx="13">
                  <c:v>7</c:v>
                </c:pt>
                <c:pt idx="14">
                  <c:v>14</c:v>
                </c:pt>
                <c:pt idx="15">
                  <c:v>20</c:v>
                </c:pt>
                <c:pt idx="16">
                  <c:v>23</c:v>
                </c:pt>
                <c:pt idx="17">
                  <c:v>1</c:v>
                </c:pt>
                <c:pt idx="18">
                  <c:v>14</c:v>
                </c:pt>
                <c:pt idx="19">
                  <c:v>13</c:v>
                </c:pt>
                <c:pt idx="20">
                  <c:v>30</c:v>
                </c:pt>
                <c:pt idx="21">
                  <c:v>3</c:v>
                </c:pt>
                <c:pt idx="22">
                  <c:v>39</c:v>
                </c:pt>
                <c:pt idx="23">
                  <c:v>29</c:v>
                </c:pt>
              </c:numCache>
            </c:numRef>
          </c:val>
          <c:extLst>
            <c:ext xmlns:c16="http://schemas.microsoft.com/office/drawing/2014/chart" uri="{C3380CC4-5D6E-409C-BE32-E72D297353CC}">
              <c16:uniqueId val="{00000000-DBEB-4831-A8D8-C2058C324375}"/>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15</c:v>
                </c:pt>
                <c:pt idx="14">
                  <c:v>13</c:v>
                </c:pt>
                <c:pt idx="15">
                  <c:v>16</c:v>
                </c:pt>
                <c:pt idx="16">
                  <c:v>25</c:v>
                </c:pt>
                <c:pt idx="17">
                  <c:v>5</c:v>
                </c:pt>
                <c:pt idx="18">
                  <c:v>11</c:v>
                </c:pt>
                <c:pt idx="19">
                  <c:v>5</c:v>
                </c:pt>
                <c:pt idx="20">
                  <c:v>19</c:v>
                </c:pt>
                <c:pt idx="21">
                  <c:v>2</c:v>
                </c:pt>
                <c:pt idx="22">
                  <c:v>16</c:v>
                </c:pt>
                <c:pt idx="23">
                  <c:v>3</c:v>
                </c:pt>
                <c:pt idx="24">
                  <c:v>14</c:v>
                </c:pt>
                <c:pt idx="25">
                  <c:v>16</c:v>
                </c:pt>
                <c:pt idx="26">
                  <c:v>17</c:v>
                </c:pt>
                <c:pt idx="27">
                  <c:v>15</c:v>
                </c:pt>
                <c:pt idx="28">
                  <c:v>5</c:v>
                </c:pt>
                <c:pt idx="29">
                  <c:v>12</c:v>
                </c:pt>
                <c:pt idx="30">
                  <c:v>10</c:v>
                </c:pt>
                <c:pt idx="31">
                  <c:v>23</c:v>
                </c:pt>
                <c:pt idx="32">
                  <c:v>8</c:v>
                </c:pt>
                <c:pt idx="33">
                  <c:v>5</c:v>
                </c:pt>
                <c:pt idx="34">
                  <c:v>12</c:v>
                </c:pt>
                <c:pt idx="35">
                  <c:v>2</c:v>
                </c:pt>
                <c:pt idx="36">
                  <c:v>20</c:v>
                </c:pt>
                <c:pt idx="37">
                  <c:v>1</c:v>
                </c:pt>
                <c:pt idx="38">
                  <c:v>3</c:v>
                </c:pt>
                <c:pt idx="39">
                  <c:v>3</c:v>
                </c:pt>
              </c:numCache>
            </c:numRef>
          </c:val>
          <c:extLst>
            <c:ext xmlns:c16="http://schemas.microsoft.com/office/drawing/2014/chart" uri="{C3380CC4-5D6E-409C-BE32-E72D297353CC}">
              <c16:uniqueId val="{00000001-DBEB-4831-A8D8-C2058C324375}"/>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('2019 Bull Kelp Datasheet Site5'!$E$16:$E$35,'2019 Bull Kelp Datasheet Site5'!$J$16:$J$35)</c:f>
              <c:numCache>
                <c:formatCode>General</c:formatCode>
                <c:ptCount val="40"/>
                <c:pt idx="0">
                  <c:v>55.1</c:v>
                </c:pt>
                <c:pt idx="1">
                  <c:v>58.2</c:v>
                </c:pt>
                <c:pt idx="2">
                  <c:v>63.9</c:v>
                </c:pt>
                <c:pt idx="3">
                  <c:v>43.1</c:v>
                </c:pt>
                <c:pt idx="4">
                  <c:v>59.3</c:v>
                </c:pt>
                <c:pt idx="5">
                  <c:v>41.5</c:v>
                </c:pt>
                <c:pt idx="6">
                  <c:v>42.9</c:v>
                </c:pt>
                <c:pt idx="7">
                  <c:v>60.2</c:v>
                </c:pt>
                <c:pt idx="8">
                  <c:v>52.1</c:v>
                </c:pt>
                <c:pt idx="9">
                  <c:v>51.2</c:v>
                </c:pt>
                <c:pt idx="10">
                  <c:v>54.5</c:v>
                </c:pt>
                <c:pt idx="11">
                  <c:v>54</c:v>
                </c:pt>
                <c:pt idx="12">
                  <c:v>46.2</c:v>
                </c:pt>
                <c:pt idx="13">
                  <c:v>37.5</c:v>
                </c:pt>
                <c:pt idx="14">
                  <c:v>53.2</c:v>
                </c:pt>
                <c:pt idx="15">
                  <c:v>58.9</c:v>
                </c:pt>
                <c:pt idx="16">
                  <c:v>51.3</c:v>
                </c:pt>
                <c:pt idx="17">
                  <c:v>45.9</c:v>
                </c:pt>
                <c:pt idx="18">
                  <c:v>62.2</c:v>
                </c:pt>
                <c:pt idx="19">
                  <c:v>64.3</c:v>
                </c:pt>
                <c:pt idx="20">
                  <c:v>50.7</c:v>
                </c:pt>
                <c:pt idx="21">
                  <c:v>45.1</c:v>
                </c:pt>
                <c:pt idx="22">
                  <c:v>52.4</c:v>
                </c:pt>
                <c:pt idx="23">
                  <c:v>57.2</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DBEB-4831-A8D8-C2058C324375}"/>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solidFill>
                <a:srgbClr val="FF9900"/>
              </a:solidFill>
            </a:ln>
            <a:effectLst/>
          </c:spPr>
          <c:invertIfNegative val="0"/>
          <c:val>
            <c:numRef>
              <c:f>('2019 Bull Kelp Datasheet Site6'!$C$16:$C$35,'2019 Bull Kelp Datasheet Site6'!$H$16:$H$35)</c:f>
              <c:numCache>
                <c:formatCode>General</c:formatCode>
                <c:ptCount val="40"/>
                <c:pt idx="0">
                  <c:v>5</c:v>
                </c:pt>
                <c:pt idx="1">
                  <c:v>15</c:v>
                </c:pt>
                <c:pt idx="2">
                  <c:v>10</c:v>
                </c:pt>
                <c:pt idx="3">
                  <c:v>3</c:v>
                </c:pt>
                <c:pt idx="4">
                  <c:v>8</c:v>
                </c:pt>
                <c:pt idx="5">
                  <c:v>4</c:v>
                </c:pt>
                <c:pt idx="6">
                  <c:v>10</c:v>
                </c:pt>
                <c:pt idx="7">
                  <c:v>13</c:v>
                </c:pt>
                <c:pt idx="8">
                  <c:v>19</c:v>
                </c:pt>
                <c:pt idx="9">
                  <c:v>8</c:v>
                </c:pt>
                <c:pt idx="10">
                  <c:v>10</c:v>
                </c:pt>
                <c:pt idx="11">
                  <c:v>15</c:v>
                </c:pt>
                <c:pt idx="12">
                  <c:v>12</c:v>
                </c:pt>
                <c:pt idx="13">
                  <c:v>8</c:v>
                </c:pt>
                <c:pt idx="14">
                  <c:v>1</c:v>
                </c:pt>
                <c:pt idx="15">
                  <c:v>12</c:v>
                </c:pt>
              </c:numCache>
            </c:numRef>
          </c:val>
          <c:extLst>
            <c:ext xmlns:c16="http://schemas.microsoft.com/office/drawing/2014/chart" uri="{C3380CC4-5D6E-409C-BE32-E72D297353CC}">
              <c16:uniqueId val="{00000000-8FA7-4A17-8BF2-39AA0EAF6384}"/>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15</c:v>
                </c:pt>
                <c:pt idx="14">
                  <c:v>13</c:v>
                </c:pt>
                <c:pt idx="15">
                  <c:v>16</c:v>
                </c:pt>
                <c:pt idx="16">
                  <c:v>25</c:v>
                </c:pt>
                <c:pt idx="17">
                  <c:v>5</c:v>
                </c:pt>
                <c:pt idx="18">
                  <c:v>11</c:v>
                </c:pt>
                <c:pt idx="19">
                  <c:v>5</c:v>
                </c:pt>
                <c:pt idx="20">
                  <c:v>19</c:v>
                </c:pt>
                <c:pt idx="21">
                  <c:v>2</c:v>
                </c:pt>
                <c:pt idx="22">
                  <c:v>16</c:v>
                </c:pt>
                <c:pt idx="23">
                  <c:v>3</c:v>
                </c:pt>
                <c:pt idx="24">
                  <c:v>14</c:v>
                </c:pt>
                <c:pt idx="25">
                  <c:v>16</c:v>
                </c:pt>
                <c:pt idx="26">
                  <c:v>17</c:v>
                </c:pt>
                <c:pt idx="27">
                  <c:v>15</c:v>
                </c:pt>
                <c:pt idx="28">
                  <c:v>5</c:v>
                </c:pt>
                <c:pt idx="29">
                  <c:v>12</c:v>
                </c:pt>
                <c:pt idx="30">
                  <c:v>10</c:v>
                </c:pt>
                <c:pt idx="31">
                  <c:v>23</c:v>
                </c:pt>
                <c:pt idx="32">
                  <c:v>8</c:v>
                </c:pt>
                <c:pt idx="33">
                  <c:v>5</c:v>
                </c:pt>
                <c:pt idx="34">
                  <c:v>12</c:v>
                </c:pt>
                <c:pt idx="35">
                  <c:v>2</c:v>
                </c:pt>
                <c:pt idx="36">
                  <c:v>20</c:v>
                </c:pt>
                <c:pt idx="37">
                  <c:v>1</c:v>
                </c:pt>
                <c:pt idx="38">
                  <c:v>3</c:v>
                </c:pt>
                <c:pt idx="39">
                  <c:v>3</c:v>
                </c:pt>
              </c:numCache>
            </c:numRef>
          </c:val>
          <c:extLst>
            <c:ext xmlns:c16="http://schemas.microsoft.com/office/drawing/2014/chart" uri="{C3380CC4-5D6E-409C-BE32-E72D297353CC}">
              <c16:uniqueId val="{00000001-8FA7-4A17-8BF2-39AA0EAF6384}"/>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('2019 Bull Kelp Datasheet Site6'!$E$16:$E$35,'2019 Bull Kelp Datasheet Site6'!$J$16:$J$35)</c:f>
              <c:numCache>
                <c:formatCode>General</c:formatCode>
                <c:ptCount val="40"/>
                <c:pt idx="0">
                  <c:v>57.2</c:v>
                </c:pt>
                <c:pt idx="1">
                  <c:v>47</c:v>
                </c:pt>
                <c:pt idx="2">
                  <c:v>52</c:v>
                </c:pt>
                <c:pt idx="3">
                  <c:v>56.8</c:v>
                </c:pt>
                <c:pt idx="4">
                  <c:v>50.1</c:v>
                </c:pt>
                <c:pt idx="5">
                  <c:v>59.6</c:v>
                </c:pt>
                <c:pt idx="6">
                  <c:v>57.9</c:v>
                </c:pt>
                <c:pt idx="7">
                  <c:v>47.7</c:v>
                </c:pt>
                <c:pt idx="8">
                  <c:v>53.6</c:v>
                </c:pt>
                <c:pt idx="9">
                  <c:v>54.6</c:v>
                </c:pt>
                <c:pt idx="10">
                  <c:v>64.2</c:v>
                </c:pt>
                <c:pt idx="11">
                  <c:v>39.9</c:v>
                </c:pt>
                <c:pt idx="12">
                  <c:v>42.1</c:v>
                </c:pt>
                <c:pt idx="13">
                  <c:v>52.1</c:v>
                </c:pt>
                <c:pt idx="14">
                  <c:v>54.8</c:v>
                </c:pt>
                <c:pt idx="15">
                  <c:v>45.5</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8FA7-4A17-8BF2-39AA0EAF6384}"/>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solidFill>
                <a:srgbClr val="FF9900"/>
              </a:solidFill>
            </a:ln>
            <a:effectLst/>
          </c:spPr>
          <c:invertIfNegative val="0"/>
          <c:val>
            <c:numRef>
              <c:f>('2019 Bull Kelp Datasheet Site7'!$C$16:$C$35,'2019 Bull Kelp Datasheet Site7'!$H$16:$H$35)</c:f>
              <c:numCache>
                <c:formatCode>General</c:formatCode>
                <c:ptCount val="40"/>
                <c:pt idx="0">
                  <c:v>5</c:v>
                </c:pt>
                <c:pt idx="1">
                  <c:v>15</c:v>
                </c:pt>
                <c:pt idx="2">
                  <c:v>10</c:v>
                </c:pt>
                <c:pt idx="3">
                  <c:v>3</c:v>
                </c:pt>
                <c:pt idx="4">
                  <c:v>8</c:v>
                </c:pt>
                <c:pt idx="5">
                  <c:v>4</c:v>
                </c:pt>
                <c:pt idx="6">
                  <c:v>10</c:v>
                </c:pt>
                <c:pt idx="7">
                  <c:v>13</c:v>
                </c:pt>
                <c:pt idx="8">
                  <c:v>19</c:v>
                </c:pt>
                <c:pt idx="9">
                  <c:v>8</c:v>
                </c:pt>
                <c:pt idx="10">
                  <c:v>10</c:v>
                </c:pt>
                <c:pt idx="11">
                  <c:v>15</c:v>
                </c:pt>
                <c:pt idx="12">
                  <c:v>12</c:v>
                </c:pt>
                <c:pt idx="13">
                  <c:v>15</c:v>
                </c:pt>
                <c:pt idx="14">
                  <c:v>19</c:v>
                </c:pt>
                <c:pt idx="15">
                  <c:v>5</c:v>
                </c:pt>
                <c:pt idx="16">
                  <c:v>24</c:v>
                </c:pt>
                <c:pt idx="17">
                  <c:v>20</c:v>
                </c:pt>
                <c:pt idx="18">
                  <c:v>2</c:v>
                </c:pt>
                <c:pt idx="19">
                  <c:v>10</c:v>
                </c:pt>
                <c:pt idx="20">
                  <c:v>11</c:v>
                </c:pt>
                <c:pt idx="21">
                  <c:v>17</c:v>
                </c:pt>
                <c:pt idx="22">
                  <c:v>22</c:v>
                </c:pt>
                <c:pt idx="23">
                  <c:v>1</c:v>
                </c:pt>
                <c:pt idx="24">
                  <c:v>4</c:v>
                </c:pt>
                <c:pt idx="25">
                  <c:v>6</c:v>
                </c:pt>
                <c:pt idx="26">
                  <c:v>25</c:v>
                </c:pt>
              </c:numCache>
            </c:numRef>
          </c:val>
          <c:extLst>
            <c:ext xmlns:c16="http://schemas.microsoft.com/office/drawing/2014/chart" uri="{C3380CC4-5D6E-409C-BE32-E72D297353CC}">
              <c16:uniqueId val="{00000000-EF27-45F8-B6CD-F960FFEE68FF}"/>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15</c:v>
                </c:pt>
                <c:pt idx="14">
                  <c:v>13</c:v>
                </c:pt>
                <c:pt idx="15">
                  <c:v>16</c:v>
                </c:pt>
                <c:pt idx="16">
                  <c:v>25</c:v>
                </c:pt>
                <c:pt idx="17">
                  <c:v>5</c:v>
                </c:pt>
                <c:pt idx="18">
                  <c:v>11</c:v>
                </c:pt>
                <c:pt idx="19">
                  <c:v>5</c:v>
                </c:pt>
                <c:pt idx="20">
                  <c:v>19</c:v>
                </c:pt>
                <c:pt idx="21">
                  <c:v>2</c:v>
                </c:pt>
                <c:pt idx="22">
                  <c:v>16</c:v>
                </c:pt>
                <c:pt idx="23">
                  <c:v>3</c:v>
                </c:pt>
                <c:pt idx="24">
                  <c:v>14</c:v>
                </c:pt>
                <c:pt idx="25">
                  <c:v>16</c:v>
                </c:pt>
                <c:pt idx="26">
                  <c:v>17</c:v>
                </c:pt>
                <c:pt idx="27">
                  <c:v>15</c:v>
                </c:pt>
                <c:pt idx="28">
                  <c:v>5</c:v>
                </c:pt>
                <c:pt idx="29">
                  <c:v>12</c:v>
                </c:pt>
                <c:pt idx="30">
                  <c:v>10</c:v>
                </c:pt>
                <c:pt idx="31">
                  <c:v>23</c:v>
                </c:pt>
                <c:pt idx="32">
                  <c:v>8</c:v>
                </c:pt>
                <c:pt idx="33">
                  <c:v>5</c:v>
                </c:pt>
                <c:pt idx="34">
                  <c:v>12</c:v>
                </c:pt>
                <c:pt idx="35">
                  <c:v>2</c:v>
                </c:pt>
                <c:pt idx="36">
                  <c:v>20</c:v>
                </c:pt>
                <c:pt idx="37">
                  <c:v>1</c:v>
                </c:pt>
                <c:pt idx="38">
                  <c:v>3</c:v>
                </c:pt>
                <c:pt idx="39">
                  <c:v>3</c:v>
                </c:pt>
              </c:numCache>
            </c:numRef>
          </c:val>
          <c:extLst>
            <c:ext xmlns:c16="http://schemas.microsoft.com/office/drawing/2014/chart" uri="{C3380CC4-5D6E-409C-BE32-E72D297353CC}">
              <c16:uniqueId val="{00000001-EF27-45F8-B6CD-F960FFEE68FF}"/>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('2019 Bull Kelp Datasheet Site7'!$E$16:$E$35,'2019 Bull Kelp Datasheet Site7'!$J$16:$J$35)</c:f>
              <c:numCache>
                <c:formatCode>General</c:formatCode>
                <c:ptCount val="40"/>
                <c:pt idx="0">
                  <c:v>60.6</c:v>
                </c:pt>
                <c:pt idx="1">
                  <c:v>56.4</c:v>
                </c:pt>
                <c:pt idx="2">
                  <c:v>49.6</c:v>
                </c:pt>
                <c:pt idx="3">
                  <c:v>46.4</c:v>
                </c:pt>
                <c:pt idx="4">
                  <c:v>48.8</c:v>
                </c:pt>
                <c:pt idx="5">
                  <c:v>56.4</c:v>
                </c:pt>
                <c:pt idx="6">
                  <c:v>62.3</c:v>
                </c:pt>
                <c:pt idx="7">
                  <c:v>47.6</c:v>
                </c:pt>
                <c:pt idx="8">
                  <c:v>47.3</c:v>
                </c:pt>
                <c:pt idx="9">
                  <c:v>46.6</c:v>
                </c:pt>
                <c:pt idx="10">
                  <c:v>46.7</c:v>
                </c:pt>
                <c:pt idx="11">
                  <c:v>50.8</c:v>
                </c:pt>
                <c:pt idx="12">
                  <c:v>50.7</c:v>
                </c:pt>
                <c:pt idx="13">
                  <c:v>45.3</c:v>
                </c:pt>
                <c:pt idx="14">
                  <c:v>48.9</c:v>
                </c:pt>
                <c:pt idx="15">
                  <c:v>50</c:v>
                </c:pt>
                <c:pt idx="16">
                  <c:v>52</c:v>
                </c:pt>
                <c:pt idx="17">
                  <c:v>50.1</c:v>
                </c:pt>
                <c:pt idx="18">
                  <c:v>42</c:v>
                </c:pt>
                <c:pt idx="19">
                  <c:v>54.5</c:v>
                </c:pt>
                <c:pt idx="20">
                  <c:v>58.2</c:v>
                </c:pt>
                <c:pt idx="21">
                  <c:v>48.6</c:v>
                </c:pt>
                <c:pt idx="22">
                  <c:v>53.3</c:v>
                </c:pt>
                <c:pt idx="23">
                  <c:v>56.7</c:v>
                </c:pt>
                <c:pt idx="24">
                  <c:v>47.4</c:v>
                </c:pt>
                <c:pt idx="25">
                  <c:v>51</c:v>
                </c:pt>
                <c:pt idx="26">
                  <c:v>49.3</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EF27-45F8-B6CD-F960FFEE68FF}"/>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solidFill>
                <a:srgbClr val="FF9900"/>
              </a:solidFill>
            </a:ln>
            <a:effectLst/>
          </c:spPr>
          <c:invertIfNegative val="0"/>
          <c:val>
            <c:numRef>
              <c:f>('2019 Bull Kelp Datasheet Site8'!$C$16:$C$35,'2019 Bull Kelp Datasheet Site8'!$H$16:$H$35)</c:f>
              <c:numCache>
                <c:formatCode>General</c:formatCode>
                <c:ptCount val="40"/>
                <c:pt idx="0">
                  <c:v>5</c:v>
                </c:pt>
                <c:pt idx="1">
                  <c:v>15</c:v>
                </c:pt>
                <c:pt idx="2">
                  <c:v>10</c:v>
                </c:pt>
                <c:pt idx="3">
                  <c:v>3</c:v>
                </c:pt>
                <c:pt idx="4">
                  <c:v>8</c:v>
                </c:pt>
                <c:pt idx="5">
                  <c:v>4</c:v>
                </c:pt>
                <c:pt idx="6">
                  <c:v>10</c:v>
                </c:pt>
                <c:pt idx="7">
                  <c:v>13</c:v>
                </c:pt>
                <c:pt idx="8">
                  <c:v>19</c:v>
                </c:pt>
                <c:pt idx="9">
                  <c:v>8</c:v>
                </c:pt>
                <c:pt idx="10">
                  <c:v>10</c:v>
                </c:pt>
                <c:pt idx="11">
                  <c:v>15</c:v>
                </c:pt>
                <c:pt idx="12">
                  <c:v>12</c:v>
                </c:pt>
              </c:numCache>
            </c:numRef>
          </c:val>
          <c:extLst>
            <c:ext xmlns:c16="http://schemas.microsoft.com/office/drawing/2014/chart" uri="{C3380CC4-5D6E-409C-BE32-E72D297353CC}">
              <c16:uniqueId val="{00000000-5E1B-4DAC-8D24-7C71220C39E5}"/>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15</c:v>
                </c:pt>
                <c:pt idx="14">
                  <c:v>13</c:v>
                </c:pt>
                <c:pt idx="15">
                  <c:v>16</c:v>
                </c:pt>
                <c:pt idx="16">
                  <c:v>25</c:v>
                </c:pt>
                <c:pt idx="17">
                  <c:v>5</c:v>
                </c:pt>
                <c:pt idx="18">
                  <c:v>11</c:v>
                </c:pt>
                <c:pt idx="19">
                  <c:v>5</c:v>
                </c:pt>
                <c:pt idx="20">
                  <c:v>19</c:v>
                </c:pt>
                <c:pt idx="21">
                  <c:v>2</c:v>
                </c:pt>
                <c:pt idx="22">
                  <c:v>16</c:v>
                </c:pt>
                <c:pt idx="23">
                  <c:v>3</c:v>
                </c:pt>
                <c:pt idx="24">
                  <c:v>14</c:v>
                </c:pt>
                <c:pt idx="25">
                  <c:v>16</c:v>
                </c:pt>
                <c:pt idx="26">
                  <c:v>17</c:v>
                </c:pt>
                <c:pt idx="27">
                  <c:v>15</c:v>
                </c:pt>
                <c:pt idx="28">
                  <c:v>5</c:v>
                </c:pt>
                <c:pt idx="29">
                  <c:v>12</c:v>
                </c:pt>
                <c:pt idx="30">
                  <c:v>10</c:v>
                </c:pt>
                <c:pt idx="31">
                  <c:v>23</c:v>
                </c:pt>
                <c:pt idx="32">
                  <c:v>8</c:v>
                </c:pt>
                <c:pt idx="33">
                  <c:v>5</c:v>
                </c:pt>
                <c:pt idx="34">
                  <c:v>12</c:v>
                </c:pt>
                <c:pt idx="35">
                  <c:v>2</c:v>
                </c:pt>
                <c:pt idx="36">
                  <c:v>20</c:v>
                </c:pt>
                <c:pt idx="37">
                  <c:v>1</c:v>
                </c:pt>
                <c:pt idx="38">
                  <c:v>3</c:v>
                </c:pt>
                <c:pt idx="39">
                  <c:v>3</c:v>
                </c:pt>
              </c:numCache>
            </c:numRef>
          </c:val>
          <c:extLst>
            <c:ext xmlns:c16="http://schemas.microsoft.com/office/drawing/2014/chart" uri="{C3380CC4-5D6E-409C-BE32-E72D297353CC}">
              <c16:uniqueId val="{00000001-5E1B-4DAC-8D24-7C71220C39E5}"/>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('2019 Bull Kelp Datasheet Site8'!$E$16:$E$35,'2019 Bull Kelp Datasheet Site8'!$J$16:$J$35)</c:f>
              <c:numCache>
                <c:formatCode>General</c:formatCode>
                <c:ptCount val="40"/>
                <c:pt idx="0">
                  <c:v>55.3</c:v>
                </c:pt>
                <c:pt idx="1">
                  <c:v>49.6</c:v>
                </c:pt>
                <c:pt idx="2">
                  <c:v>58.5</c:v>
                </c:pt>
                <c:pt idx="3">
                  <c:v>50</c:v>
                </c:pt>
                <c:pt idx="4">
                  <c:v>46.9</c:v>
                </c:pt>
                <c:pt idx="5">
                  <c:v>53.6</c:v>
                </c:pt>
                <c:pt idx="6">
                  <c:v>44.4</c:v>
                </c:pt>
                <c:pt idx="7">
                  <c:v>55.9</c:v>
                </c:pt>
                <c:pt idx="8">
                  <c:v>57.1</c:v>
                </c:pt>
                <c:pt idx="9">
                  <c:v>51.3</c:v>
                </c:pt>
                <c:pt idx="10">
                  <c:v>55.3</c:v>
                </c:pt>
                <c:pt idx="11">
                  <c:v>61.6</c:v>
                </c:pt>
                <c:pt idx="12">
                  <c:v>55.2</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5E1B-4DAC-8D24-7C71220C39E5}"/>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solidFill>
                <a:srgbClr val="FF9900"/>
              </a:solidFill>
            </a:ln>
            <a:effectLst/>
          </c:spPr>
          <c:invertIfNegative val="0"/>
          <c:val>
            <c:numRef>
              <c:f>('2019 Bull Kelp Datasheet Site9'!$C$16:$C$35,'2019 Bull Kelp Datasheet Site9'!$H$16:$H$35)</c:f>
              <c:numCache>
                <c:formatCode>General</c:formatCode>
                <c:ptCount val="40"/>
                <c:pt idx="0">
                  <c:v>5</c:v>
                </c:pt>
                <c:pt idx="1">
                  <c:v>15</c:v>
                </c:pt>
                <c:pt idx="2">
                  <c:v>10</c:v>
                </c:pt>
                <c:pt idx="3">
                  <c:v>3</c:v>
                </c:pt>
                <c:pt idx="4">
                  <c:v>8</c:v>
                </c:pt>
                <c:pt idx="5">
                  <c:v>4</c:v>
                </c:pt>
                <c:pt idx="6">
                  <c:v>10</c:v>
                </c:pt>
                <c:pt idx="7">
                  <c:v>13</c:v>
                </c:pt>
                <c:pt idx="8">
                  <c:v>19</c:v>
                </c:pt>
                <c:pt idx="9">
                  <c:v>8</c:v>
                </c:pt>
                <c:pt idx="10">
                  <c:v>10</c:v>
                </c:pt>
                <c:pt idx="11">
                  <c:v>15</c:v>
                </c:pt>
                <c:pt idx="12">
                  <c:v>12</c:v>
                </c:pt>
                <c:pt idx="13">
                  <c:v>20</c:v>
                </c:pt>
                <c:pt idx="14">
                  <c:v>13</c:v>
                </c:pt>
                <c:pt idx="15">
                  <c:v>17</c:v>
                </c:pt>
                <c:pt idx="16">
                  <c:v>15</c:v>
                </c:pt>
                <c:pt idx="17">
                  <c:v>19</c:v>
                </c:pt>
                <c:pt idx="18">
                  <c:v>10</c:v>
                </c:pt>
                <c:pt idx="19">
                  <c:v>5</c:v>
                </c:pt>
              </c:numCache>
            </c:numRef>
          </c:val>
          <c:extLst>
            <c:ext xmlns:c16="http://schemas.microsoft.com/office/drawing/2014/chart" uri="{C3380CC4-5D6E-409C-BE32-E72D297353CC}">
              <c16:uniqueId val="{00000000-D1F6-4246-A278-2A704E09F225}"/>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15</c:v>
                </c:pt>
                <c:pt idx="14">
                  <c:v>13</c:v>
                </c:pt>
                <c:pt idx="15">
                  <c:v>16</c:v>
                </c:pt>
                <c:pt idx="16">
                  <c:v>25</c:v>
                </c:pt>
                <c:pt idx="17">
                  <c:v>5</c:v>
                </c:pt>
                <c:pt idx="18">
                  <c:v>11</c:v>
                </c:pt>
                <c:pt idx="19">
                  <c:v>5</c:v>
                </c:pt>
                <c:pt idx="20">
                  <c:v>19</c:v>
                </c:pt>
                <c:pt idx="21">
                  <c:v>2</c:v>
                </c:pt>
                <c:pt idx="22">
                  <c:v>16</c:v>
                </c:pt>
                <c:pt idx="23">
                  <c:v>3</c:v>
                </c:pt>
                <c:pt idx="24">
                  <c:v>14</c:v>
                </c:pt>
                <c:pt idx="25">
                  <c:v>16</c:v>
                </c:pt>
                <c:pt idx="26">
                  <c:v>17</c:v>
                </c:pt>
                <c:pt idx="27">
                  <c:v>15</c:v>
                </c:pt>
                <c:pt idx="28">
                  <c:v>5</c:v>
                </c:pt>
                <c:pt idx="29">
                  <c:v>12</c:v>
                </c:pt>
                <c:pt idx="30">
                  <c:v>10</c:v>
                </c:pt>
                <c:pt idx="31">
                  <c:v>23</c:v>
                </c:pt>
                <c:pt idx="32">
                  <c:v>8</c:v>
                </c:pt>
                <c:pt idx="33">
                  <c:v>5</c:v>
                </c:pt>
                <c:pt idx="34">
                  <c:v>12</c:v>
                </c:pt>
                <c:pt idx="35">
                  <c:v>2</c:v>
                </c:pt>
                <c:pt idx="36">
                  <c:v>20</c:v>
                </c:pt>
                <c:pt idx="37">
                  <c:v>1</c:v>
                </c:pt>
                <c:pt idx="38">
                  <c:v>3</c:v>
                </c:pt>
                <c:pt idx="39">
                  <c:v>3</c:v>
                </c:pt>
              </c:numCache>
            </c:numRef>
          </c:val>
          <c:extLst>
            <c:ext xmlns:c16="http://schemas.microsoft.com/office/drawing/2014/chart" uri="{C3380CC4-5D6E-409C-BE32-E72D297353CC}">
              <c16:uniqueId val="{00000001-D1F6-4246-A278-2A704E09F225}"/>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('2019 Bull Kelp Datasheet Site9'!$E$16:$E$35,'2019 Bull Kelp Datasheet Site9'!$J$16:$J$35)</c:f>
              <c:numCache>
                <c:formatCode>General</c:formatCode>
                <c:ptCount val="40"/>
                <c:pt idx="0">
                  <c:v>58.5</c:v>
                </c:pt>
                <c:pt idx="1">
                  <c:v>47.3</c:v>
                </c:pt>
                <c:pt idx="2">
                  <c:v>63.4</c:v>
                </c:pt>
                <c:pt idx="3">
                  <c:v>50.7</c:v>
                </c:pt>
                <c:pt idx="4">
                  <c:v>57</c:v>
                </c:pt>
                <c:pt idx="5">
                  <c:v>57.1</c:v>
                </c:pt>
                <c:pt idx="6">
                  <c:v>54.5</c:v>
                </c:pt>
                <c:pt idx="7">
                  <c:v>53.1</c:v>
                </c:pt>
                <c:pt idx="8">
                  <c:v>52.4</c:v>
                </c:pt>
                <c:pt idx="9">
                  <c:v>60.1</c:v>
                </c:pt>
                <c:pt idx="10">
                  <c:v>55.4</c:v>
                </c:pt>
                <c:pt idx="11">
                  <c:v>50.7</c:v>
                </c:pt>
                <c:pt idx="12">
                  <c:v>61.6</c:v>
                </c:pt>
                <c:pt idx="13">
                  <c:v>51.4</c:v>
                </c:pt>
                <c:pt idx="14">
                  <c:v>39.799999999999997</c:v>
                </c:pt>
                <c:pt idx="15">
                  <c:v>51.5</c:v>
                </c:pt>
                <c:pt idx="16">
                  <c:v>45.7</c:v>
                </c:pt>
                <c:pt idx="17">
                  <c:v>41</c:v>
                </c:pt>
                <c:pt idx="18">
                  <c:v>49.8</c:v>
                </c:pt>
                <c:pt idx="19">
                  <c:v>53.1</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D1F6-4246-A278-2A704E09F225}"/>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solidFill>
                <a:srgbClr val="FF9900"/>
              </a:solidFill>
            </a:ln>
            <a:effectLst/>
          </c:spPr>
          <c:invertIfNegative val="0"/>
          <c:val>
            <c:numRef>
              <c:f>('2023 Bull Kelp Datasheet Site10'!$C$16:$C$35,'2023 Bull Kelp Datasheet Site10'!$H$16:$H$35)</c:f>
              <c:numCache>
                <c:formatCode>General</c:formatCode>
                <c:ptCount val="40"/>
                <c:pt idx="0">
                  <c:v>5</c:v>
                </c:pt>
                <c:pt idx="1">
                  <c:v>15</c:v>
                </c:pt>
                <c:pt idx="2">
                  <c:v>10</c:v>
                </c:pt>
                <c:pt idx="3">
                  <c:v>3</c:v>
                </c:pt>
                <c:pt idx="4">
                  <c:v>8</c:v>
                </c:pt>
                <c:pt idx="5">
                  <c:v>4</c:v>
                </c:pt>
                <c:pt idx="6">
                  <c:v>10</c:v>
                </c:pt>
                <c:pt idx="7">
                  <c:v>13</c:v>
                </c:pt>
                <c:pt idx="8">
                  <c:v>19</c:v>
                </c:pt>
                <c:pt idx="9">
                  <c:v>8</c:v>
                </c:pt>
                <c:pt idx="10">
                  <c:v>10</c:v>
                </c:pt>
                <c:pt idx="11">
                  <c:v>15</c:v>
                </c:pt>
                <c:pt idx="12">
                  <c:v>12</c:v>
                </c:pt>
                <c:pt idx="13">
                  <c:v>22</c:v>
                </c:pt>
                <c:pt idx="14">
                  <c:v>24</c:v>
                </c:pt>
                <c:pt idx="15">
                  <c:v>19</c:v>
                </c:pt>
                <c:pt idx="16">
                  <c:v>12</c:v>
                </c:pt>
                <c:pt idx="17">
                  <c:v>15</c:v>
                </c:pt>
                <c:pt idx="18">
                  <c:v>24</c:v>
                </c:pt>
                <c:pt idx="19">
                  <c:v>18</c:v>
                </c:pt>
                <c:pt idx="20">
                  <c:v>4</c:v>
                </c:pt>
                <c:pt idx="21">
                  <c:v>14</c:v>
                </c:pt>
                <c:pt idx="22">
                  <c:v>22</c:v>
                </c:pt>
                <c:pt idx="23">
                  <c:v>10</c:v>
                </c:pt>
                <c:pt idx="24">
                  <c:v>3</c:v>
                </c:pt>
                <c:pt idx="25">
                  <c:v>8</c:v>
                </c:pt>
                <c:pt idx="26">
                  <c:v>4</c:v>
                </c:pt>
                <c:pt idx="27">
                  <c:v>11</c:v>
                </c:pt>
                <c:pt idx="28">
                  <c:v>8</c:v>
                </c:pt>
                <c:pt idx="29">
                  <c:v>20</c:v>
                </c:pt>
                <c:pt idx="30">
                  <c:v>1</c:v>
                </c:pt>
                <c:pt idx="31">
                  <c:v>17</c:v>
                </c:pt>
                <c:pt idx="32">
                  <c:v>6</c:v>
                </c:pt>
                <c:pt idx="33">
                  <c:v>11</c:v>
                </c:pt>
              </c:numCache>
            </c:numRef>
          </c:val>
          <c:extLst>
            <c:ext xmlns:c16="http://schemas.microsoft.com/office/drawing/2014/chart" uri="{C3380CC4-5D6E-409C-BE32-E72D297353CC}">
              <c16:uniqueId val="{00000000-0BB6-4206-964F-C5D7C2AE825F}"/>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15</c:v>
                </c:pt>
                <c:pt idx="14">
                  <c:v>13</c:v>
                </c:pt>
                <c:pt idx="15">
                  <c:v>16</c:v>
                </c:pt>
                <c:pt idx="16">
                  <c:v>25</c:v>
                </c:pt>
                <c:pt idx="17">
                  <c:v>5</c:v>
                </c:pt>
                <c:pt idx="18">
                  <c:v>11</c:v>
                </c:pt>
                <c:pt idx="19">
                  <c:v>5</c:v>
                </c:pt>
                <c:pt idx="20">
                  <c:v>19</c:v>
                </c:pt>
                <c:pt idx="21">
                  <c:v>2</c:v>
                </c:pt>
                <c:pt idx="22">
                  <c:v>16</c:v>
                </c:pt>
                <c:pt idx="23">
                  <c:v>3</c:v>
                </c:pt>
                <c:pt idx="24">
                  <c:v>14</c:v>
                </c:pt>
                <c:pt idx="25">
                  <c:v>16</c:v>
                </c:pt>
                <c:pt idx="26">
                  <c:v>17</c:v>
                </c:pt>
                <c:pt idx="27">
                  <c:v>15</c:v>
                </c:pt>
                <c:pt idx="28">
                  <c:v>5</c:v>
                </c:pt>
                <c:pt idx="29">
                  <c:v>12</c:v>
                </c:pt>
                <c:pt idx="30">
                  <c:v>10</c:v>
                </c:pt>
                <c:pt idx="31">
                  <c:v>23</c:v>
                </c:pt>
                <c:pt idx="32">
                  <c:v>8</c:v>
                </c:pt>
                <c:pt idx="33">
                  <c:v>5</c:v>
                </c:pt>
                <c:pt idx="34">
                  <c:v>12</c:v>
                </c:pt>
                <c:pt idx="35">
                  <c:v>2</c:v>
                </c:pt>
                <c:pt idx="36">
                  <c:v>20</c:v>
                </c:pt>
                <c:pt idx="37">
                  <c:v>1</c:v>
                </c:pt>
                <c:pt idx="38">
                  <c:v>3</c:v>
                </c:pt>
                <c:pt idx="39">
                  <c:v>3</c:v>
                </c:pt>
              </c:numCache>
            </c:numRef>
          </c:val>
          <c:extLst>
            <c:ext xmlns:c16="http://schemas.microsoft.com/office/drawing/2014/chart" uri="{C3380CC4-5D6E-409C-BE32-E72D297353CC}">
              <c16:uniqueId val="{00000001-0BB6-4206-964F-C5D7C2AE825F}"/>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('2023 Bull Kelp Datasheet Site10'!$E$16:$E$35,'2023 Bull Kelp Datasheet Site10'!$J$16:$J$35)</c:f>
              <c:numCache>
                <c:formatCode>General</c:formatCode>
                <c:ptCount val="40"/>
                <c:pt idx="0">
                  <c:v>54.7</c:v>
                </c:pt>
                <c:pt idx="1">
                  <c:v>52.9</c:v>
                </c:pt>
                <c:pt idx="2">
                  <c:v>58.3</c:v>
                </c:pt>
                <c:pt idx="3">
                  <c:v>65.3</c:v>
                </c:pt>
                <c:pt idx="4">
                  <c:v>42.7</c:v>
                </c:pt>
                <c:pt idx="5">
                  <c:v>53.2</c:v>
                </c:pt>
                <c:pt idx="6">
                  <c:v>44.2</c:v>
                </c:pt>
                <c:pt idx="7">
                  <c:v>48.8</c:v>
                </c:pt>
                <c:pt idx="8">
                  <c:v>59.2</c:v>
                </c:pt>
                <c:pt idx="9">
                  <c:v>40.799999999999997</c:v>
                </c:pt>
                <c:pt idx="10">
                  <c:v>55.8</c:v>
                </c:pt>
                <c:pt idx="11">
                  <c:v>53.3</c:v>
                </c:pt>
                <c:pt idx="12">
                  <c:v>48.8</c:v>
                </c:pt>
                <c:pt idx="13">
                  <c:v>50.5</c:v>
                </c:pt>
                <c:pt idx="14">
                  <c:v>53</c:v>
                </c:pt>
                <c:pt idx="15">
                  <c:v>58.1</c:v>
                </c:pt>
                <c:pt idx="16">
                  <c:v>58.2</c:v>
                </c:pt>
                <c:pt idx="17">
                  <c:v>48.8</c:v>
                </c:pt>
                <c:pt idx="18">
                  <c:v>47.5</c:v>
                </c:pt>
                <c:pt idx="19">
                  <c:v>46.7</c:v>
                </c:pt>
                <c:pt idx="20">
                  <c:v>51.6</c:v>
                </c:pt>
                <c:pt idx="21">
                  <c:v>58.6</c:v>
                </c:pt>
                <c:pt idx="22">
                  <c:v>60</c:v>
                </c:pt>
                <c:pt idx="23">
                  <c:v>71.599999999999994</c:v>
                </c:pt>
                <c:pt idx="24">
                  <c:v>48.4</c:v>
                </c:pt>
                <c:pt idx="25">
                  <c:v>52.9</c:v>
                </c:pt>
                <c:pt idx="26">
                  <c:v>50.4</c:v>
                </c:pt>
                <c:pt idx="27">
                  <c:v>61.2</c:v>
                </c:pt>
                <c:pt idx="28">
                  <c:v>53.7</c:v>
                </c:pt>
                <c:pt idx="29">
                  <c:v>43.8</c:v>
                </c:pt>
                <c:pt idx="30">
                  <c:v>45.5</c:v>
                </c:pt>
                <c:pt idx="31">
                  <c:v>55.9</c:v>
                </c:pt>
                <c:pt idx="32">
                  <c:v>61.8</c:v>
                </c:pt>
                <c:pt idx="33">
                  <c:v>48.8</c:v>
                </c:pt>
                <c:pt idx="34">
                  <c:v>0</c:v>
                </c:pt>
                <c:pt idx="35">
                  <c:v>0</c:v>
                </c:pt>
                <c:pt idx="36">
                  <c:v>0</c:v>
                </c:pt>
                <c:pt idx="37">
                  <c:v>0</c:v>
                </c:pt>
                <c:pt idx="38">
                  <c:v>0</c:v>
                </c:pt>
                <c:pt idx="39">
                  <c:v>0</c:v>
                </c:pt>
              </c:numCache>
            </c:numRef>
          </c:val>
          <c:extLst>
            <c:ext xmlns:c16="http://schemas.microsoft.com/office/drawing/2014/chart" uri="{C3380CC4-5D6E-409C-BE32-E72D297353CC}">
              <c16:uniqueId val="{00000002-0BB6-4206-964F-C5D7C2AE825F}"/>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solidFill>
                <a:srgbClr val="FF9900"/>
              </a:solidFill>
            </a:ln>
            <a:effectLst/>
          </c:spPr>
          <c:invertIfNegative val="0"/>
          <c:val>
            <c:numRef>
              <c:f>('2024 Bull Kelp Datasheet Site10'!$C$16:$C$35,'2024 Bull Kelp Datasheet Site10'!$H$16:$H$35)</c:f>
              <c:numCache>
                <c:formatCode>General</c:formatCode>
                <c:ptCount val="40"/>
                <c:pt idx="0">
                  <c:v>5</c:v>
                </c:pt>
                <c:pt idx="1">
                  <c:v>15</c:v>
                </c:pt>
                <c:pt idx="2">
                  <c:v>10</c:v>
                </c:pt>
                <c:pt idx="3">
                  <c:v>3</c:v>
                </c:pt>
                <c:pt idx="4">
                  <c:v>8</c:v>
                </c:pt>
                <c:pt idx="5">
                  <c:v>4</c:v>
                </c:pt>
                <c:pt idx="6">
                  <c:v>10</c:v>
                </c:pt>
                <c:pt idx="7">
                  <c:v>13</c:v>
                </c:pt>
                <c:pt idx="8">
                  <c:v>19</c:v>
                </c:pt>
                <c:pt idx="9">
                  <c:v>8</c:v>
                </c:pt>
                <c:pt idx="10">
                  <c:v>10</c:v>
                </c:pt>
                <c:pt idx="11">
                  <c:v>15</c:v>
                </c:pt>
                <c:pt idx="12">
                  <c:v>12</c:v>
                </c:pt>
                <c:pt idx="13">
                  <c:v>19</c:v>
                </c:pt>
                <c:pt idx="14">
                  <c:v>10</c:v>
                </c:pt>
                <c:pt idx="15">
                  <c:v>11</c:v>
                </c:pt>
                <c:pt idx="16">
                  <c:v>19</c:v>
                </c:pt>
                <c:pt idx="17">
                  <c:v>19</c:v>
                </c:pt>
                <c:pt idx="18">
                  <c:v>23</c:v>
                </c:pt>
                <c:pt idx="19">
                  <c:v>1</c:v>
                </c:pt>
                <c:pt idx="20">
                  <c:v>25</c:v>
                </c:pt>
                <c:pt idx="21">
                  <c:v>2</c:v>
                </c:pt>
                <c:pt idx="22">
                  <c:v>19</c:v>
                </c:pt>
                <c:pt idx="23">
                  <c:v>16</c:v>
                </c:pt>
                <c:pt idx="24">
                  <c:v>2</c:v>
                </c:pt>
                <c:pt idx="25">
                  <c:v>1</c:v>
                </c:pt>
                <c:pt idx="26">
                  <c:v>11</c:v>
                </c:pt>
              </c:numCache>
            </c:numRef>
          </c:val>
          <c:extLst>
            <c:ext xmlns:c16="http://schemas.microsoft.com/office/drawing/2014/chart" uri="{C3380CC4-5D6E-409C-BE32-E72D297353CC}">
              <c16:uniqueId val="{00000000-5E58-4C25-9A9B-869F8B4E5B1C}"/>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15</c:v>
                </c:pt>
                <c:pt idx="14">
                  <c:v>13</c:v>
                </c:pt>
                <c:pt idx="15">
                  <c:v>16</c:v>
                </c:pt>
                <c:pt idx="16">
                  <c:v>25</c:v>
                </c:pt>
                <c:pt idx="17">
                  <c:v>5</c:v>
                </c:pt>
                <c:pt idx="18">
                  <c:v>11</c:v>
                </c:pt>
                <c:pt idx="19">
                  <c:v>5</c:v>
                </c:pt>
                <c:pt idx="20">
                  <c:v>19</c:v>
                </c:pt>
                <c:pt idx="21">
                  <c:v>2</c:v>
                </c:pt>
                <c:pt idx="22">
                  <c:v>16</c:v>
                </c:pt>
                <c:pt idx="23">
                  <c:v>3</c:v>
                </c:pt>
                <c:pt idx="24">
                  <c:v>14</c:v>
                </c:pt>
                <c:pt idx="25">
                  <c:v>16</c:v>
                </c:pt>
                <c:pt idx="26">
                  <c:v>17</c:v>
                </c:pt>
                <c:pt idx="27">
                  <c:v>15</c:v>
                </c:pt>
                <c:pt idx="28">
                  <c:v>5</c:v>
                </c:pt>
                <c:pt idx="29">
                  <c:v>12</c:v>
                </c:pt>
                <c:pt idx="30">
                  <c:v>10</c:v>
                </c:pt>
                <c:pt idx="31">
                  <c:v>23</c:v>
                </c:pt>
                <c:pt idx="32">
                  <c:v>8</c:v>
                </c:pt>
                <c:pt idx="33">
                  <c:v>5</c:v>
                </c:pt>
                <c:pt idx="34">
                  <c:v>12</c:v>
                </c:pt>
                <c:pt idx="35">
                  <c:v>2</c:v>
                </c:pt>
                <c:pt idx="36">
                  <c:v>20</c:v>
                </c:pt>
                <c:pt idx="37">
                  <c:v>1</c:v>
                </c:pt>
                <c:pt idx="38">
                  <c:v>3</c:v>
                </c:pt>
                <c:pt idx="39">
                  <c:v>3</c:v>
                </c:pt>
              </c:numCache>
            </c:numRef>
          </c:val>
          <c:extLst>
            <c:ext xmlns:c16="http://schemas.microsoft.com/office/drawing/2014/chart" uri="{C3380CC4-5D6E-409C-BE32-E72D297353CC}">
              <c16:uniqueId val="{00000001-5E58-4C25-9A9B-869F8B4E5B1C}"/>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('2024 Bull Kelp Datasheet Site10'!$E$16:$E$35,'2024 Bull Kelp Datasheet Site10'!$J$16:$J$35)</c:f>
              <c:numCache>
                <c:formatCode>General</c:formatCode>
                <c:ptCount val="40"/>
                <c:pt idx="0">
                  <c:v>45.3</c:v>
                </c:pt>
                <c:pt idx="1">
                  <c:v>45.8</c:v>
                </c:pt>
                <c:pt idx="2">
                  <c:v>50.4</c:v>
                </c:pt>
                <c:pt idx="3">
                  <c:v>51.1</c:v>
                </c:pt>
                <c:pt idx="4">
                  <c:v>44.1</c:v>
                </c:pt>
                <c:pt idx="5">
                  <c:v>51.4</c:v>
                </c:pt>
                <c:pt idx="6">
                  <c:v>46.2</c:v>
                </c:pt>
                <c:pt idx="7">
                  <c:v>56.8</c:v>
                </c:pt>
                <c:pt idx="8">
                  <c:v>50.6</c:v>
                </c:pt>
                <c:pt idx="9">
                  <c:v>58.6</c:v>
                </c:pt>
                <c:pt idx="10">
                  <c:v>46.7</c:v>
                </c:pt>
                <c:pt idx="11">
                  <c:v>57.1</c:v>
                </c:pt>
                <c:pt idx="12">
                  <c:v>58.9</c:v>
                </c:pt>
                <c:pt idx="13">
                  <c:v>49.7</c:v>
                </c:pt>
                <c:pt idx="14">
                  <c:v>55.9</c:v>
                </c:pt>
                <c:pt idx="15">
                  <c:v>44.3</c:v>
                </c:pt>
                <c:pt idx="16">
                  <c:v>59.1</c:v>
                </c:pt>
                <c:pt idx="17">
                  <c:v>63.6</c:v>
                </c:pt>
                <c:pt idx="18">
                  <c:v>57.8</c:v>
                </c:pt>
                <c:pt idx="19">
                  <c:v>55.9</c:v>
                </c:pt>
                <c:pt idx="20">
                  <c:v>46.1</c:v>
                </c:pt>
                <c:pt idx="21">
                  <c:v>52.6</c:v>
                </c:pt>
                <c:pt idx="22">
                  <c:v>52.4</c:v>
                </c:pt>
                <c:pt idx="23">
                  <c:v>49.5</c:v>
                </c:pt>
                <c:pt idx="24">
                  <c:v>49</c:v>
                </c:pt>
                <c:pt idx="25">
                  <c:v>59.4</c:v>
                </c:pt>
                <c:pt idx="26">
                  <c:v>47.9</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5E58-4C25-9A9B-869F8B4E5B1C}"/>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CA" sz="24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Kelp Density</c:v>
          </c:tx>
          <c:spPr>
            <a:solidFill>
              <a:schemeClr val="accent2"/>
            </a:solidFill>
            <a:ln>
              <a:noFill/>
            </a:ln>
            <a:effectLst/>
          </c:spPr>
          <c:invertIfNegative val="0"/>
          <c:errBars>
            <c:errBarType val="both"/>
            <c:errValType val="cust"/>
            <c:noEndCap val="0"/>
            <c:plus>
              <c:numRef>
                <c:f>'2019 Bull Kelp Annual Report'!$K$4:$K$13</c:f>
                <c:numCache>
                  <c:formatCode>General</c:formatCode>
                  <c:ptCount val="10"/>
                  <c:pt idx="0">
                    <c:v>6.4379732835730223</c:v>
                  </c:pt>
                  <c:pt idx="1">
                    <c:v>4.0674781742776265</c:v>
                  </c:pt>
                  <c:pt idx="2">
                    <c:v>6.2844550280831832</c:v>
                  </c:pt>
                  <c:pt idx="3">
                    <c:v>9.0812518852011337</c:v>
                  </c:pt>
                  <c:pt idx="4">
                    <c:v>9.1559596559957726</c:v>
                  </c:pt>
                  <c:pt idx="5">
                    <c:v>4.6632707137801894</c:v>
                  </c:pt>
                  <c:pt idx="6">
                    <c:v>6.7673467597982988</c:v>
                  </c:pt>
                  <c:pt idx="7">
                    <c:v>4.4866666373592876</c:v>
                  </c:pt>
                  <c:pt idx="8">
                    <c:v>5.0147283076952434</c:v>
                  </c:pt>
                  <c:pt idx="9">
                    <c:v>6.8007100411995127</c:v>
                  </c:pt>
                </c:numCache>
              </c:numRef>
            </c:plus>
            <c:minus>
              <c:numRef>
                <c:f>'2019 Bull Kelp Annual Report'!$K$4:$K$13</c:f>
                <c:numCache>
                  <c:formatCode>General</c:formatCode>
                  <c:ptCount val="10"/>
                  <c:pt idx="0">
                    <c:v>6.4379732835730223</c:v>
                  </c:pt>
                  <c:pt idx="1">
                    <c:v>4.0674781742776265</c:v>
                  </c:pt>
                  <c:pt idx="2">
                    <c:v>6.2844550280831832</c:v>
                  </c:pt>
                  <c:pt idx="3">
                    <c:v>9.0812518852011337</c:v>
                  </c:pt>
                  <c:pt idx="4">
                    <c:v>9.1559596559957726</c:v>
                  </c:pt>
                  <c:pt idx="5">
                    <c:v>4.6632707137801894</c:v>
                  </c:pt>
                  <c:pt idx="6">
                    <c:v>6.7673467597982988</c:v>
                  </c:pt>
                  <c:pt idx="7">
                    <c:v>4.4866666373592876</c:v>
                  </c:pt>
                  <c:pt idx="8">
                    <c:v>5.0147283076952434</c:v>
                  </c:pt>
                  <c:pt idx="9">
                    <c:v>6.8007100411995127</c:v>
                  </c:pt>
                </c:numCache>
              </c:numRef>
            </c:minus>
            <c:spPr>
              <a:noFill/>
              <a:ln w="9525" cap="flat" cmpd="sng" algn="ctr">
                <a:solidFill>
                  <a:schemeClr val="tx1">
                    <a:lumMod val="65000"/>
                    <a:lumOff val="35000"/>
                  </a:schemeClr>
                </a:solidFill>
                <a:round/>
              </a:ln>
              <a:effectLst/>
            </c:spPr>
          </c:errBars>
          <c:cat>
            <c:strRef>
              <c:f>'2019 Bull Kelp Annual Report'!$H$4:$H$13</c:f>
              <c:strCache>
                <c:ptCount val="10"/>
                <c:pt idx="0">
                  <c:v>Site 1 (n = 40)</c:v>
                </c:pt>
                <c:pt idx="1">
                  <c:v>Site 2 (n = 26)</c:v>
                </c:pt>
                <c:pt idx="2">
                  <c:v>Site 3 (n = 40)</c:v>
                </c:pt>
                <c:pt idx="3">
                  <c:v>Site 4 (n = 18)</c:v>
                </c:pt>
                <c:pt idx="4">
                  <c:v>Site 5 (n = 24)</c:v>
                </c:pt>
                <c:pt idx="5">
                  <c:v>Site 6 (n = 16)</c:v>
                </c:pt>
                <c:pt idx="6">
                  <c:v>Site 7 (n = 27)</c:v>
                </c:pt>
                <c:pt idx="7">
                  <c:v>Site 8 (n = 33)</c:v>
                </c:pt>
                <c:pt idx="8">
                  <c:v>Site 9 (n = 20)</c:v>
                </c:pt>
                <c:pt idx="9">
                  <c:v>Site 10 (n = 27)</c:v>
                </c:pt>
              </c:strCache>
            </c:strRef>
          </c:cat>
          <c:val>
            <c:numRef>
              <c:f>'2019 Bull Kelp Annual Report'!$I$4:$I$13</c:f>
              <c:numCache>
                <c:formatCode>0</c:formatCode>
                <c:ptCount val="10"/>
                <c:pt idx="0">
                  <c:v>10.95</c:v>
                </c:pt>
                <c:pt idx="1">
                  <c:v>9.615384615384615</c:v>
                </c:pt>
                <c:pt idx="2">
                  <c:v>13.425000000000001</c:v>
                </c:pt>
                <c:pt idx="3">
                  <c:v>13.815789473684211</c:v>
                </c:pt>
                <c:pt idx="4">
                  <c:v>13.525</c:v>
                </c:pt>
                <c:pt idx="5">
                  <c:v>13.055555555555555</c:v>
                </c:pt>
                <c:pt idx="6">
                  <c:v>13.6</c:v>
                </c:pt>
                <c:pt idx="7">
                  <c:v>13.606060606060606</c:v>
                </c:pt>
                <c:pt idx="8">
                  <c:v>13.7</c:v>
                </c:pt>
                <c:pt idx="9">
                  <c:v>13.775</c:v>
                </c:pt>
              </c:numCache>
            </c:numRef>
          </c:val>
          <c:extLst>
            <c:ext xmlns:c16="http://schemas.microsoft.com/office/drawing/2014/chart" uri="{C3380CC4-5D6E-409C-BE32-E72D297353CC}">
              <c16:uniqueId val="{00000000-51C8-45F8-8C92-0F505BCE99A0}"/>
            </c:ext>
          </c:extLst>
        </c:ser>
        <c:ser>
          <c:idx val="2"/>
          <c:order val="2"/>
          <c:tx>
            <c:v>dummy 1</c:v>
          </c:tx>
          <c:spPr>
            <a:solidFill>
              <a:schemeClr val="bg1">
                <a:alpha val="0"/>
              </a:schemeClr>
            </a:solidFill>
            <a:ln>
              <a:solidFill>
                <a:schemeClr val="tx1">
                  <a:alpha val="0"/>
                </a:schemeClr>
              </a:solidFill>
            </a:ln>
            <a:effectLst/>
          </c:spPr>
          <c:invertIfNegative val="0"/>
          <c:cat>
            <c:strRef>
              <c:f>'2019 Bull Kelp Annual Report'!$H$4:$H$13</c:f>
              <c:strCache>
                <c:ptCount val="10"/>
                <c:pt idx="0">
                  <c:v>Site 1 (n = 40)</c:v>
                </c:pt>
                <c:pt idx="1">
                  <c:v>Site 2 (n = 26)</c:v>
                </c:pt>
                <c:pt idx="2">
                  <c:v>Site 3 (n = 40)</c:v>
                </c:pt>
                <c:pt idx="3">
                  <c:v>Site 4 (n = 18)</c:v>
                </c:pt>
                <c:pt idx="4">
                  <c:v>Site 5 (n = 24)</c:v>
                </c:pt>
                <c:pt idx="5">
                  <c:v>Site 6 (n = 16)</c:v>
                </c:pt>
                <c:pt idx="6">
                  <c:v>Site 7 (n = 27)</c:v>
                </c:pt>
                <c:pt idx="7">
                  <c:v>Site 8 (n = 33)</c:v>
                </c:pt>
                <c:pt idx="8">
                  <c:v>Site 9 (n = 20)</c:v>
                </c:pt>
                <c:pt idx="9">
                  <c:v>Site 10 (n = 27)</c:v>
                </c:pt>
              </c:strCache>
            </c:strRef>
          </c:cat>
          <c:val>
            <c:numRef>
              <c:f>'2019 Bull Kelp Annual Report'!$N$22:$N$31</c:f>
              <c:numCache>
                <c:formatCode>0.0</c:formatCode>
                <c:ptCount val="10"/>
                <c:pt idx="0">
                  <c:v>10.95</c:v>
                </c:pt>
                <c:pt idx="1">
                  <c:v>9.615384615384615</c:v>
                </c:pt>
                <c:pt idx="2">
                  <c:v>13.425000000000001</c:v>
                </c:pt>
                <c:pt idx="3">
                  <c:v>13.815789473684211</c:v>
                </c:pt>
                <c:pt idx="4">
                  <c:v>13.525</c:v>
                </c:pt>
                <c:pt idx="5">
                  <c:v>13.055555555555555</c:v>
                </c:pt>
                <c:pt idx="6">
                  <c:v>13.6</c:v>
                </c:pt>
                <c:pt idx="7">
                  <c:v>13.606060606060606</c:v>
                </c:pt>
                <c:pt idx="8">
                  <c:v>13.7</c:v>
                </c:pt>
                <c:pt idx="9">
                  <c:v>13.775</c:v>
                </c:pt>
              </c:numCache>
            </c:numRef>
          </c:val>
          <c:extLst>
            <c:ext xmlns:c16="http://schemas.microsoft.com/office/drawing/2014/chart" uri="{C3380CC4-5D6E-409C-BE32-E72D297353CC}">
              <c16:uniqueId val="{00000003-51C8-45F8-8C92-0F505BCE99A0}"/>
            </c:ext>
          </c:extLst>
        </c:ser>
        <c:dLbls>
          <c:showLegendKey val="0"/>
          <c:showVal val="0"/>
          <c:showCatName val="0"/>
          <c:showSerName val="0"/>
          <c:showPercent val="0"/>
          <c:showBubbleSize val="0"/>
        </c:dLbls>
        <c:gapWidth val="287"/>
        <c:overlap val="-50"/>
        <c:axId val="504045336"/>
        <c:axId val="504044256"/>
      </c:barChart>
      <c:barChart>
        <c:barDir val="col"/>
        <c:grouping val="clustered"/>
        <c:varyColors val="0"/>
        <c:ser>
          <c:idx val="1"/>
          <c:order val="1"/>
          <c:tx>
            <c:strRef>
              <c:f>'2019 Bull Kelp Annual Report'!$N$3</c:f>
              <c:strCache>
                <c:ptCount val="1"/>
                <c:pt idx="0">
                  <c:v>Extent (Area in m2)</c:v>
                </c:pt>
              </c:strCache>
            </c:strRef>
          </c:tx>
          <c:spPr>
            <a:noFill/>
            <a:ln>
              <a:noFill/>
            </a:ln>
            <a:effectLst/>
          </c:spPr>
          <c:invertIfNegative val="0"/>
          <c:cat>
            <c:strRef>
              <c:f>'2019 Bull Kelp Annual Report'!$H$4:$H$13</c:f>
              <c:strCache>
                <c:ptCount val="10"/>
                <c:pt idx="0">
                  <c:v>Site 1 (n = 40)</c:v>
                </c:pt>
                <c:pt idx="1">
                  <c:v>Site 2 (n = 26)</c:v>
                </c:pt>
                <c:pt idx="2">
                  <c:v>Site 3 (n = 40)</c:v>
                </c:pt>
                <c:pt idx="3">
                  <c:v>Site 4 (n = 18)</c:v>
                </c:pt>
                <c:pt idx="4">
                  <c:v>Site 5 (n = 24)</c:v>
                </c:pt>
                <c:pt idx="5">
                  <c:v>Site 6 (n = 16)</c:v>
                </c:pt>
                <c:pt idx="6">
                  <c:v>Site 7 (n = 27)</c:v>
                </c:pt>
                <c:pt idx="7">
                  <c:v>Site 8 (n = 33)</c:v>
                </c:pt>
                <c:pt idx="8">
                  <c:v>Site 9 (n = 20)</c:v>
                </c:pt>
                <c:pt idx="9">
                  <c:v>Site 10 (n = 27)</c:v>
                </c:pt>
              </c:strCache>
            </c:strRef>
          </c:cat>
          <c:val>
            <c:numRef>
              <c:f>'2019 Bull Kelp Annual Report'!$N$4:$N$13</c:f>
              <c:numCache>
                <c:formatCode>General</c:formatCode>
                <c:ptCount val="10"/>
                <c:pt idx="0">
                  <c:v>700</c:v>
                </c:pt>
                <c:pt idx="1">
                  <c:v>700</c:v>
                </c:pt>
                <c:pt idx="2" formatCode="0">
                  <c:v>1200</c:v>
                </c:pt>
                <c:pt idx="3" formatCode="0">
                  <c:v>1000</c:v>
                </c:pt>
                <c:pt idx="4" formatCode="0">
                  <c:v>750</c:v>
                </c:pt>
                <c:pt idx="5" formatCode="0">
                  <c:v>800</c:v>
                </c:pt>
                <c:pt idx="6" formatCode="0">
                  <c:v>1400</c:v>
                </c:pt>
                <c:pt idx="7" formatCode="0">
                  <c:v>1200</c:v>
                </c:pt>
                <c:pt idx="8" formatCode="0">
                  <c:v>900</c:v>
                </c:pt>
                <c:pt idx="9" formatCode="0">
                  <c:v>1200</c:v>
                </c:pt>
              </c:numCache>
            </c:numRef>
          </c:val>
          <c:extLst>
            <c:ext xmlns:c16="http://schemas.microsoft.com/office/drawing/2014/chart" uri="{C3380CC4-5D6E-409C-BE32-E72D297353CC}">
              <c16:uniqueId val="{00000002-51C8-45F8-8C92-0F505BCE99A0}"/>
            </c:ext>
          </c:extLst>
        </c:ser>
        <c:ser>
          <c:idx val="3"/>
          <c:order val="3"/>
          <c:tx>
            <c:strRef>
              <c:f>'2019 Bull Kelp Annual Report'!$N$3</c:f>
              <c:strCache>
                <c:ptCount val="1"/>
                <c:pt idx="0">
                  <c:v>Extent (Area in m2)</c:v>
                </c:pt>
              </c:strCache>
            </c:strRef>
          </c:tx>
          <c:spPr>
            <a:solidFill>
              <a:schemeClr val="accent4"/>
            </a:solidFill>
            <a:ln>
              <a:noFill/>
            </a:ln>
            <a:effectLst/>
          </c:spPr>
          <c:invertIfNegative val="0"/>
          <c:cat>
            <c:strRef>
              <c:f>'2019 Bull Kelp Annual Report'!$H$4:$H$13</c:f>
              <c:strCache>
                <c:ptCount val="10"/>
                <c:pt idx="0">
                  <c:v>Site 1 (n = 40)</c:v>
                </c:pt>
                <c:pt idx="1">
                  <c:v>Site 2 (n = 26)</c:v>
                </c:pt>
                <c:pt idx="2">
                  <c:v>Site 3 (n = 40)</c:v>
                </c:pt>
                <c:pt idx="3">
                  <c:v>Site 4 (n = 18)</c:v>
                </c:pt>
                <c:pt idx="4">
                  <c:v>Site 5 (n = 24)</c:v>
                </c:pt>
                <c:pt idx="5">
                  <c:v>Site 6 (n = 16)</c:v>
                </c:pt>
                <c:pt idx="6">
                  <c:v>Site 7 (n = 27)</c:v>
                </c:pt>
                <c:pt idx="7">
                  <c:v>Site 8 (n = 33)</c:v>
                </c:pt>
                <c:pt idx="8">
                  <c:v>Site 9 (n = 20)</c:v>
                </c:pt>
                <c:pt idx="9">
                  <c:v>Site 10 (n = 27)</c:v>
                </c:pt>
              </c:strCache>
            </c:strRef>
          </c:cat>
          <c:val>
            <c:numRef>
              <c:f>'2019 Bull Kelp Annual Report'!$N$4:$N$13</c:f>
              <c:numCache>
                <c:formatCode>General</c:formatCode>
                <c:ptCount val="10"/>
                <c:pt idx="0">
                  <c:v>700</c:v>
                </c:pt>
                <c:pt idx="1">
                  <c:v>700</c:v>
                </c:pt>
                <c:pt idx="2" formatCode="0">
                  <c:v>1200</c:v>
                </c:pt>
                <c:pt idx="3" formatCode="0">
                  <c:v>1000</c:v>
                </c:pt>
                <c:pt idx="4" formatCode="0">
                  <c:v>750</c:v>
                </c:pt>
                <c:pt idx="5" formatCode="0">
                  <c:v>800</c:v>
                </c:pt>
                <c:pt idx="6" formatCode="0">
                  <c:v>1400</c:v>
                </c:pt>
                <c:pt idx="7" formatCode="0">
                  <c:v>1200</c:v>
                </c:pt>
                <c:pt idx="8" formatCode="0">
                  <c:v>900</c:v>
                </c:pt>
                <c:pt idx="9" formatCode="0">
                  <c:v>1200</c:v>
                </c:pt>
              </c:numCache>
            </c:numRef>
          </c:val>
          <c:extLst>
            <c:ext xmlns:c16="http://schemas.microsoft.com/office/drawing/2014/chart" uri="{C3380CC4-5D6E-409C-BE32-E72D297353CC}">
              <c16:uniqueId val="{00000004-51C8-45F8-8C92-0F505BCE99A0}"/>
            </c:ext>
          </c:extLst>
        </c:ser>
        <c:dLbls>
          <c:showLegendKey val="0"/>
          <c:showVal val="0"/>
          <c:showCatName val="0"/>
          <c:showSerName val="0"/>
          <c:showPercent val="0"/>
          <c:showBubbleSize val="0"/>
        </c:dLbls>
        <c:gapWidth val="287"/>
        <c:overlap val="-50"/>
        <c:axId val="955870472"/>
        <c:axId val="955879472"/>
      </c:barChart>
      <c:catAx>
        <c:axId val="504045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400" b="0" i="0" u="none" strike="noStrike" kern="1200" baseline="0">
                <a:solidFill>
                  <a:sysClr val="windowText" lastClr="000000"/>
                </a:solidFill>
                <a:latin typeface="+mn-lt"/>
                <a:ea typeface="+mn-ea"/>
                <a:cs typeface="+mn-cs"/>
              </a:defRPr>
            </a:pPr>
            <a:endParaRPr lang="en-US"/>
          </a:p>
        </c:txPr>
        <c:crossAx val="504044256"/>
        <c:crosses val="autoZero"/>
        <c:auto val="1"/>
        <c:lblAlgn val="ctr"/>
        <c:lblOffset val="100"/>
        <c:noMultiLvlLbl val="0"/>
      </c:catAx>
      <c:valAx>
        <c:axId val="504044256"/>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2400" b="0" i="0" u="none" strike="noStrike" kern="1200" baseline="0">
                    <a:solidFill>
                      <a:sysClr val="windowText" lastClr="000000"/>
                    </a:solidFill>
                    <a:latin typeface="+mn-lt"/>
                    <a:ea typeface="+mn-ea"/>
                    <a:cs typeface="+mn-cs"/>
                  </a:defRPr>
                </a:pPr>
                <a:r>
                  <a:rPr lang="en-CA" sz="2400">
                    <a:solidFill>
                      <a:sysClr val="windowText" lastClr="000000"/>
                    </a:solidFill>
                  </a:rPr>
                  <a:t>Average</a:t>
                </a:r>
                <a:r>
                  <a:rPr lang="en-CA" sz="2400" baseline="0">
                    <a:solidFill>
                      <a:sysClr val="windowText" lastClr="000000"/>
                    </a:solidFill>
                  </a:rPr>
                  <a:t> </a:t>
                </a:r>
                <a:r>
                  <a:rPr lang="en-CA" sz="2400">
                    <a:solidFill>
                      <a:sysClr val="windowText" lastClr="000000"/>
                    </a:solidFill>
                  </a:rPr>
                  <a:t>Kelp</a:t>
                </a:r>
                <a:r>
                  <a:rPr lang="en-CA" sz="2400" baseline="0">
                    <a:solidFill>
                      <a:sysClr val="windowText" lastClr="000000"/>
                    </a:solidFill>
                  </a:rPr>
                  <a:t> Density (per m</a:t>
                </a:r>
                <a:r>
                  <a:rPr lang="en-CA" sz="2400" baseline="30000">
                    <a:solidFill>
                      <a:sysClr val="windowText" lastClr="000000"/>
                    </a:solidFill>
                  </a:rPr>
                  <a:t>2</a:t>
                </a:r>
                <a:r>
                  <a:rPr lang="en-CA" sz="2400" baseline="0">
                    <a:solidFill>
                      <a:sysClr val="windowText" lastClr="000000"/>
                    </a:solidFill>
                  </a:rPr>
                  <a:t>)</a:t>
                </a:r>
                <a:endParaRPr lang="en-CA" sz="24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24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2400" b="0" i="0" u="none" strike="noStrike" kern="1200" baseline="0">
                <a:solidFill>
                  <a:sysClr val="windowText" lastClr="000000"/>
                </a:solidFill>
                <a:latin typeface="+mn-lt"/>
                <a:ea typeface="+mn-ea"/>
                <a:cs typeface="+mn-cs"/>
              </a:defRPr>
            </a:pPr>
            <a:endParaRPr lang="en-US"/>
          </a:p>
        </c:txPr>
        <c:crossAx val="504045336"/>
        <c:crosses val="autoZero"/>
        <c:crossBetween val="between"/>
      </c:valAx>
      <c:valAx>
        <c:axId val="955879472"/>
        <c:scaling>
          <c:orientation val="minMax"/>
        </c:scaling>
        <c:delete val="0"/>
        <c:axPos val="r"/>
        <c:title>
          <c:tx>
            <c:rich>
              <a:bodyPr rot="-5400000" spcFirstLastPara="1" vertOverflow="ellipsis" vert="horz" wrap="square" anchor="ctr" anchorCtr="1"/>
              <a:lstStyle/>
              <a:p>
                <a:pPr>
                  <a:defRPr sz="2400" b="0" i="0" u="none" strike="noStrike" kern="1200" baseline="0">
                    <a:solidFill>
                      <a:sysClr val="windowText" lastClr="000000"/>
                    </a:solidFill>
                    <a:latin typeface="+mn-lt"/>
                    <a:ea typeface="+mn-ea"/>
                    <a:cs typeface="+mn-cs"/>
                  </a:defRPr>
                </a:pPr>
                <a:r>
                  <a:rPr lang="en-CA" sz="2400">
                    <a:solidFill>
                      <a:sysClr val="windowText" lastClr="000000"/>
                    </a:solidFill>
                  </a:rPr>
                  <a:t>Kelp Bed</a:t>
                </a:r>
                <a:r>
                  <a:rPr lang="en-CA" sz="2400" baseline="0">
                    <a:solidFill>
                      <a:sysClr val="windowText" lastClr="000000"/>
                    </a:solidFill>
                  </a:rPr>
                  <a:t> Extent (Area m</a:t>
                </a:r>
                <a:r>
                  <a:rPr lang="en-CA" sz="2400" baseline="30000">
                    <a:solidFill>
                      <a:sysClr val="windowText" lastClr="000000"/>
                    </a:solidFill>
                  </a:rPr>
                  <a:t>2</a:t>
                </a:r>
                <a:r>
                  <a:rPr lang="en-CA" sz="2400" baseline="0">
                    <a:solidFill>
                      <a:sysClr val="windowText" lastClr="000000"/>
                    </a:solidFill>
                  </a:rPr>
                  <a:t>)</a:t>
                </a:r>
                <a:endParaRPr lang="en-CA" sz="24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2400" b="0" i="0" u="none" strike="noStrike" kern="1200" baseline="0">
                  <a:solidFill>
                    <a:sysClr val="windowText" lastClr="000000"/>
                  </a:solidFill>
                  <a:latin typeface="+mn-lt"/>
                  <a:ea typeface="+mn-ea"/>
                  <a:cs typeface="+mn-cs"/>
                </a:defRPr>
              </a:pPr>
              <a:endParaRPr lang="en-US"/>
            </a:p>
          </c:txPr>
        </c:title>
        <c:numFmt formatCode="0" sourceLinked="0"/>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2400" b="0" i="0" u="none" strike="noStrike" kern="1200" baseline="0">
                <a:solidFill>
                  <a:sysClr val="windowText" lastClr="000000"/>
                </a:solidFill>
                <a:latin typeface="+mn-lt"/>
                <a:ea typeface="+mn-ea"/>
                <a:cs typeface="+mn-cs"/>
              </a:defRPr>
            </a:pPr>
            <a:endParaRPr lang="en-US"/>
          </a:p>
        </c:txPr>
        <c:crossAx val="955870472"/>
        <c:crosses val="max"/>
        <c:crossBetween val="between"/>
      </c:valAx>
      <c:catAx>
        <c:axId val="955870472"/>
        <c:scaling>
          <c:orientation val="minMax"/>
        </c:scaling>
        <c:delete val="1"/>
        <c:axPos val="b"/>
        <c:numFmt formatCode="General" sourceLinked="1"/>
        <c:majorTickMark val="out"/>
        <c:minorTickMark val="none"/>
        <c:tickLblPos val="nextTo"/>
        <c:crossAx val="955879472"/>
        <c:crosses val="autoZero"/>
        <c:auto val="1"/>
        <c:lblAlgn val="ctr"/>
        <c:lblOffset val="100"/>
        <c:noMultiLvlLbl val="0"/>
      </c:catAx>
      <c:spPr>
        <a:noFill/>
        <a:ln>
          <a:noFill/>
        </a:ln>
        <a:effectLst/>
      </c:spPr>
    </c:plotArea>
    <c:legend>
      <c:legendPos val="b"/>
      <c:legendEntry>
        <c:idx val="1"/>
        <c:delete val="1"/>
      </c:legendEntry>
      <c:legendEntry>
        <c:idx val="2"/>
        <c:delete val="1"/>
      </c:legendEntry>
      <c:overlay val="0"/>
      <c:spPr>
        <a:noFill/>
        <a:ln>
          <a:noFill/>
        </a:ln>
        <a:effectLst/>
      </c:spPr>
      <c:txPr>
        <a:bodyPr rot="0" spcFirstLastPara="1" vertOverflow="ellipsis" vert="horz" wrap="square" anchor="ctr" anchorCtr="1"/>
        <a:lstStyle/>
        <a:p>
          <a:pPr>
            <a:defRPr sz="24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1" i="0" u="none" strike="noStrike" kern="1200" spc="0" baseline="0">
                <a:solidFill>
                  <a:schemeClr val="tx1"/>
                </a:solidFill>
                <a:latin typeface="+mn-lt"/>
                <a:ea typeface="+mn-ea"/>
                <a:cs typeface="+mn-cs"/>
              </a:defRPr>
            </a:pPr>
            <a:r>
              <a:rPr lang="en-US" sz="2400" b="1">
                <a:solidFill>
                  <a:schemeClr val="tx1"/>
                </a:solidFill>
              </a:rPr>
              <a:t>Figure 2</a:t>
            </a:r>
          </a:p>
        </c:rich>
      </c:tx>
      <c:overlay val="0"/>
      <c:spPr>
        <a:noFill/>
        <a:ln>
          <a:noFill/>
        </a:ln>
        <a:effectLst/>
      </c:spPr>
      <c:txPr>
        <a:bodyPr rot="0" spcFirstLastPara="1" vertOverflow="ellipsis" vert="horz" wrap="square" anchor="ctr" anchorCtr="1"/>
        <a:lstStyle/>
        <a:p>
          <a:pPr>
            <a:defRPr sz="2400" b="1" i="0" u="none" strike="noStrike" kern="1200" spc="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tx>
            <c:strRef>
              <c:f>'2019 Bull Kelp Annual Report'!$H$4:$H$13</c:f>
              <c:strCache>
                <c:ptCount val="10"/>
                <c:pt idx="0">
                  <c:v>Site 1 (n = 40)</c:v>
                </c:pt>
                <c:pt idx="1">
                  <c:v>Site 2 (n = 26)</c:v>
                </c:pt>
                <c:pt idx="2">
                  <c:v>Site 3 (n = 40)</c:v>
                </c:pt>
                <c:pt idx="3">
                  <c:v>Site 4 (n = 18)</c:v>
                </c:pt>
                <c:pt idx="4">
                  <c:v>Site 5 (n = 24)</c:v>
                </c:pt>
                <c:pt idx="5">
                  <c:v>Site 6 (n = 16)</c:v>
                </c:pt>
                <c:pt idx="6">
                  <c:v>Site 7 (n = 27)</c:v>
                </c:pt>
                <c:pt idx="7">
                  <c:v>Site 8 (n = 33)</c:v>
                </c:pt>
                <c:pt idx="8">
                  <c:v>Site 9 (n = 20)</c:v>
                </c:pt>
                <c:pt idx="9">
                  <c:v>Site 10 (n = 27)</c:v>
                </c:pt>
              </c:strCache>
            </c:strRef>
          </c:tx>
          <c:spPr>
            <a:solidFill>
              <a:schemeClr val="bg1">
                <a:lumMod val="65000"/>
              </a:schemeClr>
            </a:solidFill>
            <a:ln>
              <a:noFill/>
            </a:ln>
            <a:effectLst/>
          </c:spPr>
          <c:invertIfNegative val="0"/>
          <c:errBars>
            <c:errBarType val="both"/>
            <c:errValType val="cust"/>
            <c:noEndCap val="0"/>
            <c:plus>
              <c:numRef>
                <c:f>'2019 Bull Kelp Annual Report'!$P$4:$P$13</c:f>
                <c:numCache>
                  <c:formatCode>General</c:formatCode>
                  <c:ptCount val="10"/>
                  <c:pt idx="0">
                    <c:v>28.830068322953604</c:v>
                  </c:pt>
                  <c:pt idx="1">
                    <c:v>28.013627284046372</c:v>
                  </c:pt>
                  <c:pt idx="2">
                    <c:v>13.176156917368248</c:v>
                  </c:pt>
                  <c:pt idx="3">
                    <c:v>23.369863479086522</c:v>
                  </c:pt>
                  <c:pt idx="4">
                    <c:v>20.847651329879398</c:v>
                  </c:pt>
                  <c:pt idx="5">
                    <c:v>10.214368964029708</c:v>
                  </c:pt>
                  <c:pt idx="6">
                    <c:v>10.274023338281626</c:v>
                  </c:pt>
                  <c:pt idx="7">
                    <c:v>10.384615384615385</c:v>
                  </c:pt>
                  <c:pt idx="8">
                    <c:v>10.416666666666668</c:v>
                  </c:pt>
                  <c:pt idx="9">
                    <c:v>16.439863053633452</c:v>
                  </c:pt>
                </c:numCache>
              </c:numRef>
            </c:plus>
            <c:minus>
              <c:numRef>
                <c:f>'2019 Bull Kelp Annual Report'!$P$4:$P$13</c:f>
                <c:numCache>
                  <c:formatCode>General</c:formatCode>
                  <c:ptCount val="10"/>
                  <c:pt idx="0">
                    <c:v>28.830068322953604</c:v>
                  </c:pt>
                  <c:pt idx="1">
                    <c:v>28.013627284046372</c:v>
                  </c:pt>
                  <c:pt idx="2">
                    <c:v>13.176156917368248</c:v>
                  </c:pt>
                  <c:pt idx="3">
                    <c:v>23.369863479086522</c:v>
                  </c:pt>
                  <c:pt idx="4">
                    <c:v>20.847651329879398</c:v>
                  </c:pt>
                  <c:pt idx="5">
                    <c:v>10.214368964029708</c:v>
                  </c:pt>
                  <c:pt idx="6">
                    <c:v>10.274023338281626</c:v>
                  </c:pt>
                  <c:pt idx="7">
                    <c:v>10.384615384615385</c:v>
                  </c:pt>
                  <c:pt idx="8">
                    <c:v>10.416666666666668</c:v>
                  </c:pt>
                  <c:pt idx="9">
                    <c:v>16.439863053633452</c:v>
                  </c:pt>
                </c:numCache>
              </c:numRef>
            </c:minus>
            <c:spPr>
              <a:noFill/>
              <a:ln w="9525" cap="flat" cmpd="sng" algn="ctr">
                <a:solidFill>
                  <a:schemeClr val="tx1">
                    <a:lumMod val="65000"/>
                    <a:lumOff val="35000"/>
                  </a:schemeClr>
                </a:solidFill>
                <a:round/>
              </a:ln>
              <a:effectLst/>
            </c:spPr>
          </c:errBars>
          <c:cat>
            <c:strRef>
              <c:f>'2019 Bull Kelp Annual Report'!$H$4:$H$13</c:f>
              <c:strCache>
                <c:ptCount val="10"/>
                <c:pt idx="0">
                  <c:v>Site 1 (n = 40)</c:v>
                </c:pt>
                <c:pt idx="1">
                  <c:v>Site 2 (n = 26)</c:v>
                </c:pt>
                <c:pt idx="2">
                  <c:v>Site 3 (n = 40)</c:v>
                </c:pt>
                <c:pt idx="3">
                  <c:v>Site 4 (n = 18)</c:v>
                </c:pt>
                <c:pt idx="4">
                  <c:v>Site 5 (n = 24)</c:v>
                </c:pt>
                <c:pt idx="5">
                  <c:v>Site 6 (n = 16)</c:v>
                </c:pt>
                <c:pt idx="6">
                  <c:v>Site 7 (n = 27)</c:v>
                </c:pt>
                <c:pt idx="7">
                  <c:v>Site 8 (n = 33)</c:v>
                </c:pt>
                <c:pt idx="8">
                  <c:v>Site 9 (n = 20)</c:v>
                </c:pt>
                <c:pt idx="9">
                  <c:v>Site 10 (n = 27)</c:v>
                </c:pt>
              </c:strCache>
            </c:strRef>
          </c:cat>
          <c:val>
            <c:numRef>
              <c:f>'2019 Bull Kelp Annual Report'!$O$4:$O$13</c:f>
              <c:numCache>
                <c:formatCode>0</c:formatCode>
                <c:ptCount val="10"/>
                <c:pt idx="0">
                  <c:v>32.222222222222221</c:v>
                </c:pt>
                <c:pt idx="1">
                  <c:v>34.42307692307692</c:v>
                </c:pt>
                <c:pt idx="2">
                  <c:v>16.666666666666668</c:v>
                </c:pt>
                <c:pt idx="3">
                  <c:v>23.235294117647058</c:v>
                </c:pt>
                <c:pt idx="4">
                  <c:v>20.729166666666668</c:v>
                </c:pt>
                <c:pt idx="5">
                  <c:v>14.5</c:v>
                </c:pt>
                <c:pt idx="6">
                  <c:v>13.333333333333334</c:v>
                </c:pt>
                <c:pt idx="7">
                  <c:v>15.576923076923077</c:v>
                </c:pt>
                <c:pt idx="8">
                  <c:v>14.583333333333334</c:v>
                </c:pt>
                <c:pt idx="9">
                  <c:v>19.791666666666668</c:v>
                </c:pt>
              </c:numCache>
            </c:numRef>
          </c:val>
          <c:extLst>
            <c:ext xmlns:c16="http://schemas.microsoft.com/office/drawing/2014/chart" uri="{C3380CC4-5D6E-409C-BE32-E72D297353CC}">
              <c16:uniqueId val="{00000000-FB61-4259-B28E-52F67D407240}"/>
            </c:ext>
          </c:extLst>
        </c:ser>
        <c:dLbls>
          <c:showLegendKey val="0"/>
          <c:showVal val="0"/>
          <c:showCatName val="0"/>
          <c:showSerName val="0"/>
          <c:showPercent val="0"/>
          <c:showBubbleSize val="0"/>
        </c:dLbls>
        <c:gapWidth val="219"/>
        <c:overlap val="-27"/>
        <c:axId val="835650079"/>
        <c:axId val="913911519"/>
      </c:barChart>
      <c:catAx>
        <c:axId val="835650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400" b="0" i="0" u="none" strike="noStrike" kern="1200" baseline="0">
                <a:solidFill>
                  <a:schemeClr val="tx1"/>
                </a:solidFill>
                <a:latin typeface="+mn-lt"/>
                <a:ea typeface="+mn-ea"/>
                <a:cs typeface="+mn-cs"/>
              </a:defRPr>
            </a:pPr>
            <a:endParaRPr lang="en-US"/>
          </a:p>
        </c:txPr>
        <c:crossAx val="913911519"/>
        <c:crosses val="autoZero"/>
        <c:auto val="1"/>
        <c:lblAlgn val="ctr"/>
        <c:lblOffset val="100"/>
        <c:noMultiLvlLbl val="0"/>
      </c:catAx>
      <c:valAx>
        <c:axId val="913911519"/>
        <c:scaling>
          <c:orientation val="minMax"/>
          <c:min val="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2400" b="1" i="0" u="none" strike="noStrike" kern="1200" baseline="0">
                    <a:solidFill>
                      <a:schemeClr val="tx1"/>
                    </a:solidFill>
                    <a:latin typeface="+mn-lt"/>
                    <a:ea typeface="+mn-ea"/>
                    <a:cs typeface="+mn-cs"/>
                  </a:defRPr>
                </a:pPr>
                <a:r>
                  <a:rPr lang="en-US" sz="2400" b="1">
                    <a:solidFill>
                      <a:schemeClr val="tx1"/>
                    </a:solidFill>
                  </a:rPr>
                  <a:t>Average % Bryozoan Cover</a:t>
                </a:r>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solidFill>
                  <a:latin typeface="+mn-lt"/>
                  <a:ea typeface="+mn-ea"/>
                  <a:cs typeface="+mn-cs"/>
                </a:defRPr>
              </a:pPr>
              <a:endParaRPr lang="en-US"/>
            </a:p>
          </c:txPr>
        </c:title>
        <c:numFmt formatCode="0"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2400" b="0" i="0" u="none" strike="noStrike" kern="1200" baseline="0">
                <a:solidFill>
                  <a:schemeClr val="tx1"/>
                </a:solidFill>
                <a:latin typeface="+mn-lt"/>
                <a:ea typeface="+mn-ea"/>
                <a:cs typeface="+mn-cs"/>
              </a:defRPr>
            </a:pPr>
            <a:endParaRPr lang="en-US"/>
          </a:p>
        </c:txPr>
        <c:crossAx val="8356500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solidFill>
                <a:srgbClr val="FF9900"/>
              </a:solidFill>
            </a:ln>
            <a:effectLst/>
          </c:spPr>
          <c:invertIfNegative val="0"/>
          <c:val>
            <c:numRef>
              <c:f>('2020 Bull Kelp Datasheet Site1'!$C$16:$C$35,'2020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numCache>
            </c:numRef>
          </c:val>
          <c:extLst>
            <c:ext xmlns:c16="http://schemas.microsoft.com/office/drawing/2014/chart" uri="{C3380CC4-5D6E-409C-BE32-E72D297353CC}">
              <c16:uniqueId val="{00000000-3AC9-4B7A-B6DF-A2CA74C83124}"/>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15</c:v>
                </c:pt>
                <c:pt idx="14">
                  <c:v>13</c:v>
                </c:pt>
                <c:pt idx="15">
                  <c:v>16</c:v>
                </c:pt>
                <c:pt idx="16">
                  <c:v>25</c:v>
                </c:pt>
                <c:pt idx="17">
                  <c:v>5</c:v>
                </c:pt>
                <c:pt idx="18">
                  <c:v>11</c:v>
                </c:pt>
                <c:pt idx="19">
                  <c:v>5</c:v>
                </c:pt>
                <c:pt idx="20">
                  <c:v>19</c:v>
                </c:pt>
                <c:pt idx="21">
                  <c:v>2</c:v>
                </c:pt>
                <c:pt idx="22">
                  <c:v>16</c:v>
                </c:pt>
                <c:pt idx="23">
                  <c:v>3</c:v>
                </c:pt>
                <c:pt idx="24">
                  <c:v>14</c:v>
                </c:pt>
                <c:pt idx="25">
                  <c:v>16</c:v>
                </c:pt>
                <c:pt idx="26">
                  <c:v>17</c:v>
                </c:pt>
                <c:pt idx="27">
                  <c:v>15</c:v>
                </c:pt>
                <c:pt idx="28">
                  <c:v>5</c:v>
                </c:pt>
                <c:pt idx="29">
                  <c:v>12</c:v>
                </c:pt>
                <c:pt idx="30">
                  <c:v>10</c:v>
                </c:pt>
                <c:pt idx="31">
                  <c:v>23</c:v>
                </c:pt>
                <c:pt idx="32">
                  <c:v>8</c:v>
                </c:pt>
                <c:pt idx="33">
                  <c:v>5</c:v>
                </c:pt>
                <c:pt idx="34">
                  <c:v>12</c:v>
                </c:pt>
                <c:pt idx="35">
                  <c:v>2</c:v>
                </c:pt>
                <c:pt idx="36">
                  <c:v>20</c:v>
                </c:pt>
                <c:pt idx="37">
                  <c:v>1</c:v>
                </c:pt>
                <c:pt idx="38">
                  <c:v>3</c:v>
                </c:pt>
                <c:pt idx="39">
                  <c:v>3</c:v>
                </c:pt>
              </c:numCache>
            </c:numRef>
          </c:val>
          <c:extLst>
            <c:ext xmlns:c16="http://schemas.microsoft.com/office/drawing/2014/chart" uri="{C3380CC4-5D6E-409C-BE32-E72D297353CC}">
              <c16:uniqueId val="{00000001-3AC9-4B7A-B6DF-A2CA74C83124}"/>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('2020 Bull Kelp Datasheet Site1'!$E$16:$E$35,'2020 Bull Kelp Datasheet Site1'!$J$16:$J$35)</c:f>
              <c:numCache>
                <c:formatCode>General</c:formatCode>
                <c:ptCount val="40"/>
                <c:pt idx="0">
                  <c:v>49.1</c:v>
                </c:pt>
                <c:pt idx="1">
                  <c:v>38.200000000000003</c:v>
                </c:pt>
                <c:pt idx="2">
                  <c:v>53.6</c:v>
                </c:pt>
                <c:pt idx="3">
                  <c:v>49.8</c:v>
                </c:pt>
                <c:pt idx="4">
                  <c:v>41.1</c:v>
                </c:pt>
                <c:pt idx="5">
                  <c:v>51.9</c:v>
                </c:pt>
                <c:pt idx="6">
                  <c:v>46.1</c:v>
                </c:pt>
                <c:pt idx="7">
                  <c:v>51.2</c:v>
                </c:pt>
                <c:pt idx="8">
                  <c:v>63.7</c:v>
                </c:pt>
                <c:pt idx="9">
                  <c:v>59.2</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3AC9-4B7A-B6DF-A2CA74C83124}"/>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solidFill>
                <a:srgbClr val="FF9900"/>
              </a:solidFill>
            </a:ln>
            <a:effectLst/>
          </c:spPr>
          <c:invertIfNegative val="0"/>
          <c:val>
            <c:numRef>
              <c:f>('2020 Bull Kelp Datasheet Site4'!$C$16:$C$35,'2020 Bull Kelp Datasheet Site4'!$H$16:$H$35)</c:f>
              <c:numCache>
                <c:formatCode>General</c:formatCode>
                <c:ptCount val="40"/>
                <c:pt idx="0">
                  <c:v>5</c:v>
                </c:pt>
                <c:pt idx="1">
                  <c:v>15</c:v>
                </c:pt>
                <c:pt idx="2">
                  <c:v>10</c:v>
                </c:pt>
                <c:pt idx="3">
                  <c:v>3</c:v>
                </c:pt>
                <c:pt idx="4">
                  <c:v>8</c:v>
                </c:pt>
                <c:pt idx="5">
                  <c:v>4</c:v>
                </c:pt>
                <c:pt idx="6">
                  <c:v>10</c:v>
                </c:pt>
                <c:pt idx="7">
                  <c:v>13</c:v>
                </c:pt>
                <c:pt idx="8">
                  <c:v>19</c:v>
                </c:pt>
                <c:pt idx="9">
                  <c:v>8</c:v>
                </c:pt>
                <c:pt idx="10">
                  <c:v>10</c:v>
                </c:pt>
                <c:pt idx="11">
                  <c:v>15</c:v>
                </c:pt>
                <c:pt idx="12">
                  <c:v>12</c:v>
                </c:pt>
                <c:pt idx="13">
                  <c:v>8</c:v>
                </c:pt>
                <c:pt idx="14">
                  <c:v>22</c:v>
                </c:pt>
                <c:pt idx="15">
                  <c:v>15</c:v>
                </c:pt>
                <c:pt idx="16">
                  <c:v>9</c:v>
                </c:pt>
                <c:pt idx="17">
                  <c:v>11</c:v>
                </c:pt>
                <c:pt idx="18">
                  <c:v>7</c:v>
                </c:pt>
                <c:pt idx="19">
                  <c:v>22</c:v>
                </c:pt>
                <c:pt idx="20">
                  <c:v>2</c:v>
                </c:pt>
                <c:pt idx="21">
                  <c:v>22</c:v>
                </c:pt>
                <c:pt idx="22">
                  <c:v>12</c:v>
                </c:pt>
                <c:pt idx="23">
                  <c:v>24</c:v>
                </c:pt>
                <c:pt idx="24">
                  <c:v>3</c:v>
                </c:pt>
                <c:pt idx="25">
                  <c:v>4</c:v>
                </c:pt>
                <c:pt idx="26">
                  <c:v>20</c:v>
                </c:pt>
                <c:pt idx="27">
                  <c:v>21</c:v>
                </c:pt>
                <c:pt idx="28">
                  <c:v>21</c:v>
                </c:pt>
                <c:pt idx="29">
                  <c:v>4</c:v>
                </c:pt>
                <c:pt idx="30">
                  <c:v>10</c:v>
                </c:pt>
                <c:pt idx="31">
                  <c:v>15</c:v>
                </c:pt>
                <c:pt idx="32">
                  <c:v>23</c:v>
                </c:pt>
                <c:pt idx="33">
                  <c:v>23</c:v>
                </c:pt>
                <c:pt idx="34">
                  <c:v>15</c:v>
                </c:pt>
                <c:pt idx="35">
                  <c:v>8</c:v>
                </c:pt>
                <c:pt idx="36">
                  <c:v>1</c:v>
                </c:pt>
                <c:pt idx="37">
                  <c:v>8</c:v>
                </c:pt>
                <c:pt idx="38">
                  <c:v>13</c:v>
                </c:pt>
                <c:pt idx="39">
                  <c:v>22</c:v>
                </c:pt>
              </c:numCache>
            </c:numRef>
          </c:val>
          <c:extLst>
            <c:ext xmlns:c16="http://schemas.microsoft.com/office/drawing/2014/chart" uri="{C3380CC4-5D6E-409C-BE32-E72D297353CC}">
              <c16:uniqueId val="{00000000-4725-4F6E-8094-6C0E5BD5E95B}"/>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15</c:v>
                </c:pt>
                <c:pt idx="14">
                  <c:v>13</c:v>
                </c:pt>
                <c:pt idx="15">
                  <c:v>16</c:v>
                </c:pt>
                <c:pt idx="16">
                  <c:v>25</c:v>
                </c:pt>
                <c:pt idx="17">
                  <c:v>5</c:v>
                </c:pt>
                <c:pt idx="18">
                  <c:v>11</c:v>
                </c:pt>
                <c:pt idx="19">
                  <c:v>5</c:v>
                </c:pt>
                <c:pt idx="20">
                  <c:v>19</c:v>
                </c:pt>
                <c:pt idx="21">
                  <c:v>2</c:v>
                </c:pt>
                <c:pt idx="22">
                  <c:v>16</c:v>
                </c:pt>
                <c:pt idx="23">
                  <c:v>3</c:v>
                </c:pt>
                <c:pt idx="24">
                  <c:v>14</c:v>
                </c:pt>
                <c:pt idx="25">
                  <c:v>16</c:v>
                </c:pt>
                <c:pt idx="26">
                  <c:v>17</c:v>
                </c:pt>
                <c:pt idx="27">
                  <c:v>15</c:v>
                </c:pt>
                <c:pt idx="28">
                  <c:v>5</c:v>
                </c:pt>
                <c:pt idx="29">
                  <c:v>12</c:v>
                </c:pt>
                <c:pt idx="30">
                  <c:v>10</c:v>
                </c:pt>
                <c:pt idx="31">
                  <c:v>23</c:v>
                </c:pt>
                <c:pt idx="32">
                  <c:v>8</c:v>
                </c:pt>
                <c:pt idx="33">
                  <c:v>5</c:v>
                </c:pt>
                <c:pt idx="34">
                  <c:v>12</c:v>
                </c:pt>
                <c:pt idx="35">
                  <c:v>2</c:v>
                </c:pt>
                <c:pt idx="36">
                  <c:v>20</c:v>
                </c:pt>
                <c:pt idx="37">
                  <c:v>1</c:v>
                </c:pt>
                <c:pt idx="38">
                  <c:v>3</c:v>
                </c:pt>
                <c:pt idx="39">
                  <c:v>3</c:v>
                </c:pt>
              </c:numCache>
            </c:numRef>
          </c:val>
          <c:extLst>
            <c:ext xmlns:c16="http://schemas.microsoft.com/office/drawing/2014/chart" uri="{C3380CC4-5D6E-409C-BE32-E72D297353CC}">
              <c16:uniqueId val="{00000001-4725-4F6E-8094-6C0E5BD5E95B}"/>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('2020 Bull Kelp Datasheet Site4'!$E$16:$E$35,'2020 Bull Kelp Datasheet Site4'!$J$16:$J$35)</c:f>
              <c:numCache>
                <c:formatCode>General</c:formatCode>
                <c:ptCount val="40"/>
                <c:pt idx="0">
                  <c:v>48.3</c:v>
                </c:pt>
                <c:pt idx="1">
                  <c:v>47.7</c:v>
                </c:pt>
                <c:pt idx="2">
                  <c:v>61</c:v>
                </c:pt>
                <c:pt idx="3">
                  <c:v>58.4</c:v>
                </c:pt>
                <c:pt idx="4">
                  <c:v>52.5</c:v>
                </c:pt>
                <c:pt idx="5">
                  <c:v>51.5</c:v>
                </c:pt>
                <c:pt idx="6">
                  <c:v>49.2</c:v>
                </c:pt>
                <c:pt idx="7">
                  <c:v>60.7</c:v>
                </c:pt>
                <c:pt idx="8">
                  <c:v>56.6</c:v>
                </c:pt>
                <c:pt idx="9">
                  <c:v>46.5</c:v>
                </c:pt>
                <c:pt idx="10">
                  <c:v>47.5</c:v>
                </c:pt>
                <c:pt idx="11">
                  <c:v>48.6</c:v>
                </c:pt>
                <c:pt idx="12">
                  <c:v>50.6</c:v>
                </c:pt>
                <c:pt idx="13">
                  <c:v>45.4</c:v>
                </c:pt>
                <c:pt idx="14">
                  <c:v>43.1</c:v>
                </c:pt>
                <c:pt idx="15">
                  <c:v>56.2</c:v>
                </c:pt>
                <c:pt idx="16">
                  <c:v>58.5</c:v>
                </c:pt>
                <c:pt idx="17">
                  <c:v>45</c:v>
                </c:pt>
                <c:pt idx="18">
                  <c:v>51.7</c:v>
                </c:pt>
                <c:pt idx="19">
                  <c:v>61.8</c:v>
                </c:pt>
                <c:pt idx="20">
                  <c:v>69.2</c:v>
                </c:pt>
                <c:pt idx="21">
                  <c:v>54.8</c:v>
                </c:pt>
                <c:pt idx="22">
                  <c:v>49.3</c:v>
                </c:pt>
                <c:pt idx="23">
                  <c:v>47.1</c:v>
                </c:pt>
                <c:pt idx="24">
                  <c:v>45.7</c:v>
                </c:pt>
                <c:pt idx="25">
                  <c:v>49.8</c:v>
                </c:pt>
                <c:pt idx="26">
                  <c:v>47.9</c:v>
                </c:pt>
                <c:pt idx="27">
                  <c:v>53.7</c:v>
                </c:pt>
                <c:pt idx="28">
                  <c:v>45.5</c:v>
                </c:pt>
                <c:pt idx="29">
                  <c:v>64.5</c:v>
                </c:pt>
                <c:pt idx="30">
                  <c:v>68</c:v>
                </c:pt>
                <c:pt idx="31">
                  <c:v>53.9</c:v>
                </c:pt>
                <c:pt idx="32">
                  <c:v>49.1</c:v>
                </c:pt>
                <c:pt idx="33">
                  <c:v>40.299999999999997</c:v>
                </c:pt>
                <c:pt idx="34">
                  <c:v>44.1</c:v>
                </c:pt>
                <c:pt idx="35">
                  <c:v>58.2</c:v>
                </c:pt>
                <c:pt idx="36">
                  <c:v>65.3</c:v>
                </c:pt>
                <c:pt idx="37">
                  <c:v>51.2</c:v>
                </c:pt>
                <c:pt idx="38">
                  <c:v>47.6</c:v>
                </c:pt>
                <c:pt idx="39">
                  <c:v>45.4</c:v>
                </c:pt>
              </c:numCache>
            </c:numRef>
          </c:val>
          <c:extLst>
            <c:ext xmlns:c16="http://schemas.microsoft.com/office/drawing/2014/chart" uri="{C3380CC4-5D6E-409C-BE32-E72D297353CC}">
              <c16:uniqueId val="{00000002-4725-4F6E-8094-6C0E5BD5E95B}"/>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solidFill>
                <a:srgbClr val="FF9900"/>
              </a:solidFill>
            </a:ln>
            <a:effectLst/>
          </c:spPr>
          <c:invertIfNegative val="0"/>
          <c:val>
            <c:numRef>
              <c:f>('2021 Bull Kelp Datasheet Site1'!$C$16:$C$35,'2021 Bull Kelp Datasheet Site1'!$H$16:$H$35)</c:f>
              <c:numCache>
                <c:formatCode>General</c:formatCode>
                <c:ptCount val="40"/>
                <c:pt idx="0">
                  <c:v>18</c:v>
                </c:pt>
                <c:pt idx="1">
                  <c:v>5</c:v>
                </c:pt>
                <c:pt idx="2">
                  <c:v>2</c:v>
                </c:pt>
                <c:pt idx="3">
                  <c:v>11</c:v>
                </c:pt>
                <c:pt idx="4">
                  <c:v>26</c:v>
                </c:pt>
                <c:pt idx="5">
                  <c:v>3</c:v>
                </c:pt>
                <c:pt idx="6">
                  <c:v>13</c:v>
                </c:pt>
                <c:pt idx="7">
                  <c:v>12</c:v>
                </c:pt>
                <c:pt idx="8">
                  <c:v>9</c:v>
                </c:pt>
                <c:pt idx="9">
                  <c:v>6</c:v>
                </c:pt>
                <c:pt idx="10">
                  <c:v>6</c:v>
                </c:pt>
                <c:pt idx="11">
                  <c:v>19</c:v>
                </c:pt>
                <c:pt idx="12">
                  <c:v>24</c:v>
                </c:pt>
                <c:pt idx="13">
                  <c:v>22</c:v>
                </c:pt>
                <c:pt idx="14">
                  <c:v>22</c:v>
                </c:pt>
                <c:pt idx="15">
                  <c:v>7</c:v>
                </c:pt>
                <c:pt idx="16">
                  <c:v>9</c:v>
                </c:pt>
                <c:pt idx="17">
                  <c:v>2</c:v>
                </c:pt>
                <c:pt idx="18">
                  <c:v>27</c:v>
                </c:pt>
                <c:pt idx="19">
                  <c:v>29</c:v>
                </c:pt>
                <c:pt idx="20">
                  <c:v>8</c:v>
                </c:pt>
                <c:pt idx="21">
                  <c:v>14</c:v>
                </c:pt>
                <c:pt idx="22">
                  <c:v>6</c:v>
                </c:pt>
                <c:pt idx="23">
                  <c:v>8</c:v>
                </c:pt>
                <c:pt idx="24">
                  <c:v>10</c:v>
                </c:pt>
                <c:pt idx="25">
                  <c:v>12</c:v>
                </c:pt>
              </c:numCache>
            </c:numRef>
          </c:val>
          <c:extLst>
            <c:ext xmlns:c16="http://schemas.microsoft.com/office/drawing/2014/chart" uri="{C3380CC4-5D6E-409C-BE32-E72D297353CC}">
              <c16:uniqueId val="{00000000-456F-469A-B1FD-F0A78D5E02F3}"/>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15</c:v>
                </c:pt>
                <c:pt idx="14">
                  <c:v>13</c:v>
                </c:pt>
                <c:pt idx="15">
                  <c:v>16</c:v>
                </c:pt>
                <c:pt idx="16">
                  <c:v>25</c:v>
                </c:pt>
                <c:pt idx="17">
                  <c:v>5</c:v>
                </c:pt>
                <c:pt idx="18">
                  <c:v>11</c:v>
                </c:pt>
                <c:pt idx="19">
                  <c:v>5</c:v>
                </c:pt>
                <c:pt idx="20">
                  <c:v>19</c:v>
                </c:pt>
                <c:pt idx="21">
                  <c:v>2</c:v>
                </c:pt>
                <c:pt idx="22">
                  <c:v>16</c:v>
                </c:pt>
                <c:pt idx="23">
                  <c:v>3</c:v>
                </c:pt>
                <c:pt idx="24">
                  <c:v>14</c:v>
                </c:pt>
                <c:pt idx="25">
                  <c:v>16</c:v>
                </c:pt>
                <c:pt idx="26">
                  <c:v>17</c:v>
                </c:pt>
                <c:pt idx="27">
                  <c:v>15</c:v>
                </c:pt>
                <c:pt idx="28">
                  <c:v>5</c:v>
                </c:pt>
                <c:pt idx="29">
                  <c:v>12</c:v>
                </c:pt>
                <c:pt idx="30">
                  <c:v>10</c:v>
                </c:pt>
                <c:pt idx="31">
                  <c:v>23</c:v>
                </c:pt>
                <c:pt idx="32">
                  <c:v>8</c:v>
                </c:pt>
                <c:pt idx="33">
                  <c:v>5</c:v>
                </c:pt>
                <c:pt idx="34">
                  <c:v>12</c:v>
                </c:pt>
                <c:pt idx="35">
                  <c:v>2</c:v>
                </c:pt>
                <c:pt idx="36">
                  <c:v>20</c:v>
                </c:pt>
                <c:pt idx="37">
                  <c:v>1</c:v>
                </c:pt>
                <c:pt idx="38">
                  <c:v>3</c:v>
                </c:pt>
                <c:pt idx="39">
                  <c:v>3</c:v>
                </c:pt>
              </c:numCache>
            </c:numRef>
          </c:val>
          <c:extLst>
            <c:ext xmlns:c16="http://schemas.microsoft.com/office/drawing/2014/chart" uri="{C3380CC4-5D6E-409C-BE32-E72D297353CC}">
              <c16:uniqueId val="{00000001-456F-469A-B1FD-F0A78D5E02F3}"/>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('2021 Bull Kelp Datasheet Site1'!$E$16:$E$35,'2021 Bull Kelp Datasheet Site1'!$J$16:$J$35)</c:f>
              <c:numCache>
                <c:formatCode>General</c:formatCode>
                <c:ptCount val="40"/>
                <c:pt idx="0">
                  <c:v>53.8</c:v>
                </c:pt>
                <c:pt idx="1">
                  <c:v>52.3</c:v>
                </c:pt>
                <c:pt idx="2">
                  <c:v>42.9</c:v>
                </c:pt>
                <c:pt idx="3">
                  <c:v>41.1</c:v>
                </c:pt>
                <c:pt idx="4">
                  <c:v>49.6</c:v>
                </c:pt>
                <c:pt idx="5">
                  <c:v>46.5</c:v>
                </c:pt>
                <c:pt idx="6">
                  <c:v>50.7</c:v>
                </c:pt>
                <c:pt idx="7">
                  <c:v>46.7</c:v>
                </c:pt>
                <c:pt idx="8">
                  <c:v>58.5</c:v>
                </c:pt>
                <c:pt idx="9">
                  <c:v>56</c:v>
                </c:pt>
                <c:pt idx="10">
                  <c:v>54.4</c:v>
                </c:pt>
                <c:pt idx="11">
                  <c:v>51.5</c:v>
                </c:pt>
                <c:pt idx="12">
                  <c:v>50.2</c:v>
                </c:pt>
                <c:pt idx="13">
                  <c:v>58.1</c:v>
                </c:pt>
                <c:pt idx="14">
                  <c:v>56.1</c:v>
                </c:pt>
                <c:pt idx="15">
                  <c:v>51.2</c:v>
                </c:pt>
                <c:pt idx="16">
                  <c:v>39.299999999999997</c:v>
                </c:pt>
                <c:pt idx="17">
                  <c:v>45.9</c:v>
                </c:pt>
                <c:pt idx="18">
                  <c:v>58.9</c:v>
                </c:pt>
                <c:pt idx="19">
                  <c:v>56.1</c:v>
                </c:pt>
                <c:pt idx="20">
                  <c:v>54</c:v>
                </c:pt>
                <c:pt idx="21">
                  <c:v>45.5</c:v>
                </c:pt>
                <c:pt idx="22">
                  <c:v>47.8</c:v>
                </c:pt>
                <c:pt idx="23">
                  <c:v>54.2</c:v>
                </c:pt>
                <c:pt idx="24">
                  <c:v>59.7</c:v>
                </c:pt>
                <c:pt idx="25">
                  <c:v>59.4</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456F-469A-B1FD-F0A78D5E02F3}"/>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solidFill>
                <a:srgbClr val="FF9900"/>
              </a:solidFill>
            </a:ln>
            <a:effectLst/>
          </c:spPr>
          <c:invertIfNegative val="0"/>
          <c:val>
            <c:numRef>
              <c:f>('2022 Bull Kelp Datasheet Site1'!$C$16:$C$35,'2022 Bull Kelp Datasheet Site1'!$H$16:$H$35)</c:f>
              <c:numCache>
                <c:formatCode>General</c:formatCode>
                <c:ptCount val="40"/>
                <c:pt idx="0">
                  <c:v>10</c:v>
                </c:pt>
                <c:pt idx="1">
                  <c:v>17</c:v>
                </c:pt>
                <c:pt idx="2">
                  <c:v>21</c:v>
                </c:pt>
                <c:pt idx="3">
                  <c:v>23</c:v>
                </c:pt>
                <c:pt idx="4">
                  <c:v>5</c:v>
                </c:pt>
                <c:pt idx="5">
                  <c:v>7</c:v>
                </c:pt>
                <c:pt idx="6">
                  <c:v>28</c:v>
                </c:pt>
                <c:pt idx="7">
                  <c:v>15</c:v>
                </c:pt>
                <c:pt idx="8">
                  <c:v>27</c:v>
                </c:pt>
                <c:pt idx="9">
                  <c:v>14</c:v>
                </c:pt>
                <c:pt idx="10">
                  <c:v>25</c:v>
                </c:pt>
                <c:pt idx="11">
                  <c:v>26</c:v>
                </c:pt>
                <c:pt idx="12">
                  <c:v>14</c:v>
                </c:pt>
              </c:numCache>
            </c:numRef>
          </c:val>
          <c:extLst>
            <c:ext xmlns:c16="http://schemas.microsoft.com/office/drawing/2014/chart" uri="{C3380CC4-5D6E-409C-BE32-E72D297353CC}">
              <c16:uniqueId val="{00000000-CB89-46B1-B0E7-7A3D1DB1FC15}"/>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15</c:v>
                </c:pt>
                <c:pt idx="14">
                  <c:v>13</c:v>
                </c:pt>
                <c:pt idx="15">
                  <c:v>16</c:v>
                </c:pt>
                <c:pt idx="16">
                  <c:v>25</c:v>
                </c:pt>
                <c:pt idx="17">
                  <c:v>5</c:v>
                </c:pt>
                <c:pt idx="18">
                  <c:v>11</c:v>
                </c:pt>
                <c:pt idx="19">
                  <c:v>5</c:v>
                </c:pt>
                <c:pt idx="20">
                  <c:v>19</c:v>
                </c:pt>
                <c:pt idx="21">
                  <c:v>2</c:v>
                </c:pt>
                <c:pt idx="22">
                  <c:v>16</c:v>
                </c:pt>
                <c:pt idx="23">
                  <c:v>3</c:v>
                </c:pt>
                <c:pt idx="24">
                  <c:v>14</c:v>
                </c:pt>
                <c:pt idx="25">
                  <c:v>16</c:v>
                </c:pt>
                <c:pt idx="26">
                  <c:v>17</c:v>
                </c:pt>
                <c:pt idx="27">
                  <c:v>15</c:v>
                </c:pt>
                <c:pt idx="28">
                  <c:v>5</c:v>
                </c:pt>
                <c:pt idx="29">
                  <c:v>12</c:v>
                </c:pt>
                <c:pt idx="30">
                  <c:v>10</c:v>
                </c:pt>
                <c:pt idx="31">
                  <c:v>23</c:v>
                </c:pt>
                <c:pt idx="32">
                  <c:v>8</c:v>
                </c:pt>
                <c:pt idx="33">
                  <c:v>5</c:v>
                </c:pt>
                <c:pt idx="34">
                  <c:v>12</c:v>
                </c:pt>
                <c:pt idx="35">
                  <c:v>2</c:v>
                </c:pt>
                <c:pt idx="36">
                  <c:v>20</c:v>
                </c:pt>
                <c:pt idx="37">
                  <c:v>1</c:v>
                </c:pt>
                <c:pt idx="38">
                  <c:v>3</c:v>
                </c:pt>
                <c:pt idx="39">
                  <c:v>3</c:v>
                </c:pt>
              </c:numCache>
            </c:numRef>
          </c:val>
          <c:extLst>
            <c:ext xmlns:c16="http://schemas.microsoft.com/office/drawing/2014/chart" uri="{C3380CC4-5D6E-409C-BE32-E72D297353CC}">
              <c16:uniqueId val="{00000001-CB89-46B1-B0E7-7A3D1DB1FC15}"/>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('2022 Bull Kelp Datasheet Site1'!$E$16:$E$35,'2022 Bull Kelp Datasheet Site1'!$J$16:$J$35)</c:f>
              <c:numCache>
                <c:formatCode>General</c:formatCode>
                <c:ptCount val="40"/>
                <c:pt idx="0">
                  <c:v>57.2</c:v>
                </c:pt>
                <c:pt idx="1">
                  <c:v>44.6</c:v>
                </c:pt>
                <c:pt idx="2">
                  <c:v>51.9</c:v>
                </c:pt>
                <c:pt idx="3">
                  <c:v>48.4</c:v>
                </c:pt>
                <c:pt idx="4">
                  <c:v>47.1</c:v>
                </c:pt>
                <c:pt idx="5">
                  <c:v>51.7</c:v>
                </c:pt>
                <c:pt idx="6">
                  <c:v>65.2</c:v>
                </c:pt>
                <c:pt idx="7">
                  <c:v>53.3</c:v>
                </c:pt>
                <c:pt idx="8">
                  <c:v>60.1</c:v>
                </c:pt>
                <c:pt idx="9">
                  <c:v>61.1</c:v>
                </c:pt>
                <c:pt idx="10">
                  <c:v>41.8</c:v>
                </c:pt>
                <c:pt idx="11">
                  <c:v>50.4</c:v>
                </c:pt>
                <c:pt idx="12">
                  <c:v>54.6</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CB89-46B1-B0E7-7A3D1DB1FC15}"/>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solidFill>
                <a:srgbClr val="FF9900"/>
              </a:solidFill>
            </a:ln>
            <a:effectLst/>
          </c:spPr>
          <c:invertIfNegative val="0"/>
          <c:val>
            <c:numRef>
              <c:f>('2023 Bull Kelp Datasheet Site3'!$C$16:$C$35,'2023 Bull Kelp Datasheet Site3'!$H$16:$H$35)</c:f>
              <c:numCache>
                <c:formatCode>General</c:formatCode>
                <c:ptCount val="40"/>
                <c:pt idx="0">
                  <c:v>5</c:v>
                </c:pt>
                <c:pt idx="1">
                  <c:v>15</c:v>
                </c:pt>
                <c:pt idx="2">
                  <c:v>10</c:v>
                </c:pt>
                <c:pt idx="3">
                  <c:v>3</c:v>
                </c:pt>
                <c:pt idx="4">
                  <c:v>8</c:v>
                </c:pt>
                <c:pt idx="5">
                  <c:v>4</c:v>
                </c:pt>
                <c:pt idx="6">
                  <c:v>10</c:v>
                </c:pt>
                <c:pt idx="7">
                  <c:v>13</c:v>
                </c:pt>
                <c:pt idx="8">
                  <c:v>19</c:v>
                </c:pt>
                <c:pt idx="9">
                  <c:v>8</c:v>
                </c:pt>
                <c:pt idx="10">
                  <c:v>10</c:v>
                </c:pt>
                <c:pt idx="11">
                  <c:v>15</c:v>
                </c:pt>
                <c:pt idx="12">
                  <c:v>12</c:v>
                </c:pt>
                <c:pt idx="13">
                  <c:v>21</c:v>
                </c:pt>
                <c:pt idx="14">
                  <c:v>14</c:v>
                </c:pt>
                <c:pt idx="15">
                  <c:v>1</c:v>
                </c:pt>
                <c:pt idx="16">
                  <c:v>25</c:v>
                </c:pt>
                <c:pt idx="17">
                  <c:v>11</c:v>
                </c:pt>
                <c:pt idx="18">
                  <c:v>4</c:v>
                </c:pt>
                <c:pt idx="19">
                  <c:v>7</c:v>
                </c:pt>
                <c:pt idx="20">
                  <c:v>13</c:v>
                </c:pt>
                <c:pt idx="21">
                  <c:v>15</c:v>
                </c:pt>
                <c:pt idx="22">
                  <c:v>8</c:v>
                </c:pt>
                <c:pt idx="23">
                  <c:v>13</c:v>
                </c:pt>
                <c:pt idx="24">
                  <c:v>24</c:v>
                </c:pt>
                <c:pt idx="25">
                  <c:v>24</c:v>
                </c:pt>
                <c:pt idx="26">
                  <c:v>17</c:v>
                </c:pt>
                <c:pt idx="27">
                  <c:v>25</c:v>
                </c:pt>
                <c:pt idx="28">
                  <c:v>2</c:v>
                </c:pt>
                <c:pt idx="29">
                  <c:v>23</c:v>
                </c:pt>
                <c:pt idx="30">
                  <c:v>4</c:v>
                </c:pt>
                <c:pt idx="31">
                  <c:v>6</c:v>
                </c:pt>
                <c:pt idx="32">
                  <c:v>11</c:v>
                </c:pt>
                <c:pt idx="33">
                  <c:v>9</c:v>
                </c:pt>
                <c:pt idx="34">
                  <c:v>14</c:v>
                </c:pt>
                <c:pt idx="35">
                  <c:v>24</c:v>
                </c:pt>
                <c:pt idx="36">
                  <c:v>4</c:v>
                </c:pt>
                <c:pt idx="37">
                  <c:v>16</c:v>
                </c:pt>
                <c:pt idx="38">
                  <c:v>8</c:v>
                </c:pt>
                <c:pt idx="39">
                  <c:v>24</c:v>
                </c:pt>
              </c:numCache>
            </c:numRef>
          </c:val>
          <c:extLst>
            <c:ext xmlns:c16="http://schemas.microsoft.com/office/drawing/2014/chart" uri="{C3380CC4-5D6E-409C-BE32-E72D297353CC}">
              <c16:uniqueId val="{00000000-A9C9-4A61-8F88-3518B1128AA6}"/>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15</c:v>
                </c:pt>
                <c:pt idx="14">
                  <c:v>13</c:v>
                </c:pt>
                <c:pt idx="15">
                  <c:v>16</c:v>
                </c:pt>
                <c:pt idx="16">
                  <c:v>25</c:v>
                </c:pt>
                <c:pt idx="17">
                  <c:v>5</c:v>
                </c:pt>
                <c:pt idx="18">
                  <c:v>11</c:v>
                </c:pt>
                <c:pt idx="19">
                  <c:v>5</c:v>
                </c:pt>
                <c:pt idx="20">
                  <c:v>19</c:v>
                </c:pt>
                <c:pt idx="21">
                  <c:v>2</c:v>
                </c:pt>
                <c:pt idx="22">
                  <c:v>16</c:v>
                </c:pt>
                <c:pt idx="23">
                  <c:v>3</c:v>
                </c:pt>
                <c:pt idx="24">
                  <c:v>14</c:v>
                </c:pt>
                <c:pt idx="25">
                  <c:v>16</c:v>
                </c:pt>
                <c:pt idx="26">
                  <c:v>17</c:v>
                </c:pt>
                <c:pt idx="27">
                  <c:v>15</c:v>
                </c:pt>
                <c:pt idx="28">
                  <c:v>5</c:v>
                </c:pt>
                <c:pt idx="29">
                  <c:v>12</c:v>
                </c:pt>
                <c:pt idx="30">
                  <c:v>10</c:v>
                </c:pt>
                <c:pt idx="31">
                  <c:v>23</c:v>
                </c:pt>
                <c:pt idx="32">
                  <c:v>8</c:v>
                </c:pt>
                <c:pt idx="33">
                  <c:v>5</c:v>
                </c:pt>
                <c:pt idx="34">
                  <c:v>12</c:v>
                </c:pt>
                <c:pt idx="35">
                  <c:v>2</c:v>
                </c:pt>
                <c:pt idx="36">
                  <c:v>20</c:v>
                </c:pt>
                <c:pt idx="37">
                  <c:v>1</c:v>
                </c:pt>
                <c:pt idx="38">
                  <c:v>3</c:v>
                </c:pt>
                <c:pt idx="39">
                  <c:v>3</c:v>
                </c:pt>
              </c:numCache>
            </c:numRef>
          </c:val>
          <c:extLst>
            <c:ext xmlns:c16="http://schemas.microsoft.com/office/drawing/2014/chart" uri="{C3380CC4-5D6E-409C-BE32-E72D297353CC}">
              <c16:uniqueId val="{00000001-A9C9-4A61-8F88-3518B1128AA6}"/>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('2023 Bull Kelp Datasheet Site3'!$E$16:$E$35,'2023 Bull Kelp Datasheet Site3'!$J$16:$J$35)</c:f>
              <c:numCache>
                <c:formatCode>General</c:formatCode>
                <c:ptCount val="40"/>
                <c:pt idx="0">
                  <c:v>43.5</c:v>
                </c:pt>
                <c:pt idx="1">
                  <c:v>70</c:v>
                </c:pt>
                <c:pt idx="2">
                  <c:v>48.9</c:v>
                </c:pt>
                <c:pt idx="3">
                  <c:v>44.6</c:v>
                </c:pt>
                <c:pt idx="4">
                  <c:v>53.8</c:v>
                </c:pt>
                <c:pt idx="5">
                  <c:v>54</c:v>
                </c:pt>
                <c:pt idx="6">
                  <c:v>58.5</c:v>
                </c:pt>
                <c:pt idx="7">
                  <c:v>52.7</c:v>
                </c:pt>
                <c:pt idx="8">
                  <c:v>58</c:v>
                </c:pt>
                <c:pt idx="9">
                  <c:v>39.5</c:v>
                </c:pt>
                <c:pt idx="10">
                  <c:v>49.9</c:v>
                </c:pt>
                <c:pt idx="11">
                  <c:v>48.1</c:v>
                </c:pt>
                <c:pt idx="12">
                  <c:v>59.2</c:v>
                </c:pt>
                <c:pt idx="13">
                  <c:v>49</c:v>
                </c:pt>
                <c:pt idx="14">
                  <c:v>47.4</c:v>
                </c:pt>
                <c:pt idx="15">
                  <c:v>64</c:v>
                </c:pt>
                <c:pt idx="16">
                  <c:v>57.8</c:v>
                </c:pt>
                <c:pt idx="17">
                  <c:v>47.1</c:v>
                </c:pt>
                <c:pt idx="18">
                  <c:v>57.7</c:v>
                </c:pt>
                <c:pt idx="19">
                  <c:v>60</c:v>
                </c:pt>
                <c:pt idx="20">
                  <c:v>42.5</c:v>
                </c:pt>
                <c:pt idx="21">
                  <c:v>51.9</c:v>
                </c:pt>
                <c:pt idx="22">
                  <c:v>42.8</c:v>
                </c:pt>
                <c:pt idx="23">
                  <c:v>46.1</c:v>
                </c:pt>
                <c:pt idx="24">
                  <c:v>45.6</c:v>
                </c:pt>
                <c:pt idx="25">
                  <c:v>52.1</c:v>
                </c:pt>
                <c:pt idx="26">
                  <c:v>42.4</c:v>
                </c:pt>
                <c:pt idx="27">
                  <c:v>52.8</c:v>
                </c:pt>
                <c:pt idx="28">
                  <c:v>47.7</c:v>
                </c:pt>
                <c:pt idx="29">
                  <c:v>52.6</c:v>
                </c:pt>
                <c:pt idx="30">
                  <c:v>61.7</c:v>
                </c:pt>
                <c:pt idx="31">
                  <c:v>57.5</c:v>
                </c:pt>
                <c:pt idx="32">
                  <c:v>55.1</c:v>
                </c:pt>
                <c:pt idx="33">
                  <c:v>54.4</c:v>
                </c:pt>
                <c:pt idx="34">
                  <c:v>46.8</c:v>
                </c:pt>
                <c:pt idx="35">
                  <c:v>60.4</c:v>
                </c:pt>
                <c:pt idx="36">
                  <c:v>47.5</c:v>
                </c:pt>
                <c:pt idx="37">
                  <c:v>43.8</c:v>
                </c:pt>
                <c:pt idx="38">
                  <c:v>50.3</c:v>
                </c:pt>
                <c:pt idx="39">
                  <c:v>58.6</c:v>
                </c:pt>
              </c:numCache>
            </c:numRef>
          </c:val>
          <c:extLst>
            <c:ext xmlns:c16="http://schemas.microsoft.com/office/drawing/2014/chart" uri="{C3380CC4-5D6E-409C-BE32-E72D297353CC}">
              <c16:uniqueId val="{00000002-A9C9-4A61-8F88-3518B1128AA6}"/>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solidFill>
                <a:srgbClr val="FF9900"/>
              </a:solidFill>
            </a:ln>
            <a:effectLst/>
          </c:spPr>
          <c:invertIfNegative val="0"/>
          <c:val>
            <c:numRef>
              <c:f>('2023 Bull Kelp Datasheet Site1'!$C$16:$C$35,'2023 Bull Kelp Datasheet Site1'!$H$16:$H$35)</c:f>
              <c:numCache>
                <c:formatCode>General</c:formatCode>
                <c:ptCount val="40"/>
                <c:pt idx="0">
                  <c:v>10</c:v>
                </c:pt>
                <c:pt idx="1">
                  <c:v>17</c:v>
                </c:pt>
                <c:pt idx="2">
                  <c:v>21</c:v>
                </c:pt>
                <c:pt idx="3">
                  <c:v>23</c:v>
                </c:pt>
                <c:pt idx="4">
                  <c:v>5</c:v>
                </c:pt>
                <c:pt idx="5">
                  <c:v>7</c:v>
                </c:pt>
                <c:pt idx="6">
                  <c:v>28</c:v>
                </c:pt>
                <c:pt idx="7">
                  <c:v>15</c:v>
                </c:pt>
                <c:pt idx="8">
                  <c:v>27</c:v>
                </c:pt>
                <c:pt idx="9">
                  <c:v>14</c:v>
                </c:pt>
                <c:pt idx="10">
                  <c:v>25</c:v>
                </c:pt>
                <c:pt idx="11">
                  <c:v>26</c:v>
                </c:pt>
                <c:pt idx="12">
                  <c:v>14</c:v>
                </c:pt>
                <c:pt idx="13">
                  <c:v>11</c:v>
                </c:pt>
                <c:pt idx="14">
                  <c:v>10</c:v>
                </c:pt>
                <c:pt idx="15">
                  <c:v>20</c:v>
                </c:pt>
                <c:pt idx="16">
                  <c:v>19</c:v>
                </c:pt>
                <c:pt idx="17">
                  <c:v>3</c:v>
                </c:pt>
                <c:pt idx="18">
                  <c:v>6</c:v>
                </c:pt>
                <c:pt idx="19">
                  <c:v>5</c:v>
                </c:pt>
                <c:pt idx="20">
                  <c:v>7</c:v>
                </c:pt>
                <c:pt idx="21">
                  <c:v>1</c:v>
                </c:pt>
                <c:pt idx="22">
                  <c:v>9</c:v>
                </c:pt>
                <c:pt idx="23">
                  <c:v>2</c:v>
                </c:pt>
                <c:pt idx="24">
                  <c:v>20</c:v>
                </c:pt>
                <c:pt idx="25">
                  <c:v>24</c:v>
                </c:pt>
                <c:pt idx="26">
                  <c:v>12</c:v>
                </c:pt>
              </c:numCache>
            </c:numRef>
          </c:val>
          <c:extLst>
            <c:ext xmlns:c16="http://schemas.microsoft.com/office/drawing/2014/chart" uri="{C3380CC4-5D6E-409C-BE32-E72D297353CC}">
              <c16:uniqueId val="{00000000-0314-4008-9F53-59A8FA98525D}"/>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15</c:v>
                </c:pt>
                <c:pt idx="14">
                  <c:v>13</c:v>
                </c:pt>
                <c:pt idx="15">
                  <c:v>16</c:v>
                </c:pt>
                <c:pt idx="16">
                  <c:v>25</c:v>
                </c:pt>
                <c:pt idx="17">
                  <c:v>5</c:v>
                </c:pt>
                <c:pt idx="18">
                  <c:v>11</c:v>
                </c:pt>
                <c:pt idx="19">
                  <c:v>5</c:v>
                </c:pt>
                <c:pt idx="20">
                  <c:v>19</c:v>
                </c:pt>
                <c:pt idx="21">
                  <c:v>2</c:v>
                </c:pt>
                <c:pt idx="22">
                  <c:v>16</c:v>
                </c:pt>
                <c:pt idx="23">
                  <c:v>3</c:v>
                </c:pt>
                <c:pt idx="24">
                  <c:v>14</c:v>
                </c:pt>
                <c:pt idx="25">
                  <c:v>16</c:v>
                </c:pt>
                <c:pt idx="26">
                  <c:v>17</c:v>
                </c:pt>
                <c:pt idx="27">
                  <c:v>15</c:v>
                </c:pt>
                <c:pt idx="28">
                  <c:v>5</c:v>
                </c:pt>
                <c:pt idx="29">
                  <c:v>12</c:v>
                </c:pt>
                <c:pt idx="30">
                  <c:v>10</c:v>
                </c:pt>
                <c:pt idx="31">
                  <c:v>23</c:v>
                </c:pt>
                <c:pt idx="32">
                  <c:v>8</c:v>
                </c:pt>
                <c:pt idx="33">
                  <c:v>5</c:v>
                </c:pt>
                <c:pt idx="34">
                  <c:v>12</c:v>
                </c:pt>
                <c:pt idx="35">
                  <c:v>2</c:v>
                </c:pt>
                <c:pt idx="36">
                  <c:v>20</c:v>
                </c:pt>
                <c:pt idx="37">
                  <c:v>1</c:v>
                </c:pt>
                <c:pt idx="38">
                  <c:v>3</c:v>
                </c:pt>
                <c:pt idx="39">
                  <c:v>3</c:v>
                </c:pt>
              </c:numCache>
            </c:numRef>
          </c:val>
          <c:extLst>
            <c:ext xmlns:c16="http://schemas.microsoft.com/office/drawing/2014/chart" uri="{C3380CC4-5D6E-409C-BE32-E72D297353CC}">
              <c16:uniqueId val="{00000001-0314-4008-9F53-59A8FA98525D}"/>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('2023 Bull Kelp Datasheet Site1'!$E$16:$E$35,'2023 Bull Kelp Datasheet Site1'!$J$16:$J$35)</c:f>
              <c:numCache>
                <c:formatCode>General</c:formatCode>
                <c:ptCount val="40"/>
                <c:pt idx="0">
                  <c:v>51.3</c:v>
                </c:pt>
                <c:pt idx="1">
                  <c:v>59</c:v>
                </c:pt>
                <c:pt idx="2">
                  <c:v>44.9</c:v>
                </c:pt>
                <c:pt idx="3">
                  <c:v>57.6</c:v>
                </c:pt>
                <c:pt idx="4">
                  <c:v>60.8</c:v>
                </c:pt>
                <c:pt idx="5">
                  <c:v>50.9</c:v>
                </c:pt>
                <c:pt idx="6">
                  <c:v>46.9</c:v>
                </c:pt>
                <c:pt idx="7">
                  <c:v>47.6</c:v>
                </c:pt>
                <c:pt idx="8">
                  <c:v>63.1</c:v>
                </c:pt>
                <c:pt idx="9">
                  <c:v>55.8</c:v>
                </c:pt>
                <c:pt idx="10">
                  <c:v>54.8</c:v>
                </c:pt>
                <c:pt idx="11">
                  <c:v>52.2</c:v>
                </c:pt>
                <c:pt idx="12">
                  <c:v>54.4</c:v>
                </c:pt>
                <c:pt idx="13">
                  <c:v>57.7</c:v>
                </c:pt>
                <c:pt idx="14">
                  <c:v>51.9</c:v>
                </c:pt>
                <c:pt idx="15">
                  <c:v>63.8</c:v>
                </c:pt>
                <c:pt idx="16">
                  <c:v>57.9</c:v>
                </c:pt>
                <c:pt idx="17">
                  <c:v>45.5</c:v>
                </c:pt>
                <c:pt idx="18">
                  <c:v>53.2</c:v>
                </c:pt>
                <c:pt idx="19">
                  <c:v>50.2</c:v>
                </c:pt>
                <c:pt idx="20">
                  <c:v>45.4</c:v>
                </c:pt>
                <c:pt idx="21">
                  <c:v>59.5</c:v>
                </c:pt>
                <c:pt idx="22">
                  <c:v>54</c:v>
                </c:pt>
                <c:pt idx="23">
                  <c:v>51.6</c:v>
                </c:pt>
                <c:pt idx="24">
                  <c:v>62.7</c:v>
                </c:pt>
                <c:pt idx="25">
                  <c:v>56.3</c:v>
                </c:pt>
                <c:pt idx="26">
                  <c:v>52.5</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0314-4008-9F53-59A8FA98525D}"/>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solidFill>
                <a:srgbClr val="FF9900"/>
              </a:solidFill>
            </a:ln>
            <a:effectLst/>
          </c:spPr>
          <c:invertIfNegative val="0"/>
          <c:val>
            <c:numRef>
              <c:f>('2024 Bull Kelp Datasheet Site1'!$C$16:$C$35,'2024 Bull Kelp Datasheet Site1'!$H$16:$H$35)</c:f>
              <c:numCache>
                <c:formatCode>General</c:formatCode>
                <c:ptCount val="40"/>
                <c:pt idx="0">
                  <c:v>10</c:v>
                </c:pt>
                <c:pt idx="1">
                  <c:v>17</c:v>
                </c:pt>
                <c:pt idx="2">
                  <c:v>21</c:v>
                </c:pt>
                <c:pt idx="3">
                  <c:v>23</c:v>
                </c:pt>
                <c:pt idx="4">
                  <c:v>5</c:v>
                </c:pt>
                <c:pt idx="5">
                  <c:v>7</c:v>
                </c:pt>
                <c:pt idx="6">
                  <c:v>28</c:v>
                </c:pt>
                <c:pt idx="7">
                  <c:v>15</c:v>
                </c:pt>
                <c:pt idx="8">
                  <c:v>27</c:v>
                </c:pt>
                <c:pt idx="9">
                  <c:v>14</c:v>
                </c:pt>
                <c:pt idx="10">
                  <c:v>25</c:v>
                </c:pt>
                <c:pt idx="11">
                  <c:v>26</c:v>
                </c:pt>
                <c:pt idx="12">
                  <c:v>14</c:v>
                </c:pt>
                <c:pt idx="13">
                  <c:v>12</c:v>
                </c:pt>
                <c:pt idx="14">
                  <c:v>17</c:v>
                </c:pt>
                <c:pt idx="15">
                  <c:v>22</c:v>
                </c:pt>
                <c:pt idx="16">
                  <c:v>19</c:v>
                </c:pt>
              </c:numCache>
            </c:numRef>
          </c:val>
          <c:extLst>
            <c:ext xmlns:c16="http://schemas.microsoft.com/office/drawing/2014/chart" uri="{C3380CC4-5D6E-409C-BE32-E72D297353CC}">
              <c16:uniqueId val="{00000000-5E00-4221-857E-170824C1B6CD}"/>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15</c:v>
                </c:pt>
                <c:pt idx="14">
                  <c:v>13</c:v>
                </c:pt>
                <c:pt idx="15">
                  <c:v>16</c:v>
                </c:pt>
                <c:pt idx="16">
                  <c:v>25</c:v>
                </c:pt>
                <c:pt idx="17">
                  <c:v>5</c:v>
                </c:pt>
                <c:pt idx="18">
                  <c:v>11</c:v>
                </c:pt>
                <c:pt idx="19">
                  <c:v>5</c:v>
                </c:pt>
                <c:pt idx="20">
                  <c:v>19</c:v>
                </c:pt>
                <c:pt idx="21">
                  <c:v>2</c:v>
                </c:pt>
                <c:pt idx="22">
                  <c:v>16</c:v>
                </c:pt>
                <c:pt idx="23">
                  <c:v>3</c:v>
                </c:pt>
                <c:pt idx="24">
                  <c:v>14</c:v>
                </c:pt>
                <c:pt idx="25">
                  <c:v>16</c:v>
                </c:pt>
                <c:pt idx="26">
                  <c:v>17</c:v>
                </c:pt>
                <c:pt idx="27">
                  <c:v>15</c:v>
                </c:pt>
                <c:pt idx="28">
                  <c:v>5</c:v>
                </c:pt>
                <c:pt idx="29">
                  <c:v>12</c:v>
                </c:pt>
                <c:pt idx="30">
                  <c:v>10</c:v>
                </c:pt>
                <c:pt idx="31">
                  <c:v>23</c:v>
                </c:pt>
                <c:pt idx="32">
                  <c:v>8</c:v>
                </c:pt>
                <c:pt idx="33">
                  <c:v>5</c:v>
                </c:pt>
                <c:pt idx="34">
                  <c:v>12</c:v>
                </c:pt>
                <c:pt idx="35">
                  <c:v>2</c:v>
                </c:pt>
                <c:pt idx="36">
                  <c:v>20</c:v>
                </c:pt>
                <c:pt idx="37">
                  <c:v>1</c:v>
                </c:pt>
                <c:pt idx="38">
                  <c:v>3</c:v>
                </c:pt>
                <c:pt idx="39">
                  <c:v>3</c:v>
                </c:pt>
              </c:numCache>
            </c:numRef>
          </c:val>
          <c:extLst>
            <c:ext xmlns:c16="http://schemas.microsoft.com/office/drawing/2014/chart" uri="{C3380CC4-5D6E-409C-BE32-E72D297353CC}">
              <c16:uniqueId val="{00000001-5E00-4221-857E-170824C1B6CD}"/>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('2024 Bull Kelp Datasheet Site1'!$E$16:$E$35,'2024 Bull Kelp Datasheet Site1'!$J$16:$J$35)</c:f>
              <c:numCache>
                <c:formatCode>General</c:formatCode>
                <c:ptCount val="40"/>
                <c:pt idx="0">
                  <c:v>48.7</c:v>
                </c:pt>
                <c:pt idx="1">
                  <c:v>49.4</c:v>
                </c:pt>
                <c:pt idx="2">
                  <c:v>57</c:v>
                </c:pt>
                <c:pt idx="3">
                  <c:v>55.3</c:v>
                </c:pt>
                <c:pt idx="4">
                  <c:v>40.799999999999997</c:v>
                </c:pt>
                <c:pt idx="5">
                  <c:v>51.9</c:v>
                </c:pt>
                <c:pt idx="6">
                  <c:v>45.9</c:v>
                </c:pt>
                <c:pt idx="7">
                  <c:v>51.3</c:v>
                </c:pt>
                <c:pt idx="8">
                  <c:v>45.9</c:v>
                </c:pt>
                <c:pt idx="9">
                  <c:v>58.6</c:v>
                </c:pt>
                <c:pt idx="10">
                  <c:v>54.9</c:v>
                </c:pt>
                <c:pt idx="11">
                  <c:v>57.5</c:v>
                </c:pt>
                <c:pt idx="12">
                  <c:v>57</c:v>
                </c:pt>
                <c:pt idx="13">
                  <c:v>54.3</c:v>
                </c:pt>
                <c:pt idx="14">
                  <c:v>58.6</c:v>
                </c:pt>
                <c:pt idx="15">
                  <c:v>56.9</c:v>
                </c:pt>
                <c:pt idx="16">
                  <c:v>62.5</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5E00-4221-857E-170824C1B6CD}"/>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solidFill>
                <a:srgbClr val="FF9900"/>
              </a:solidFill>
            </a:ln>
            <a:effectLst/>
          </c:spPr>
          <c:invertIfNegative val="0"/>
          <c:val>
            <c:numRef>
              <c:f>('2020 Bull Kelp Datasheet Site2'!$C$16:$C$35,'2020 Bull Kelp Datasheet Site2'!$H$16:$H$35)</c:f>
              <c:numCache>
                <c:formatCode>General</c:formatCode>
                <c:ptCount val="40"/>
                <c:pt idx="0">
                  <c:v>10</c:v>
                </c:pt>
                <c:pt idx="1">
                  <c:v>17</c:v>
                </c:pt>
                <c:pt idx="2">
                  <c:v>21</c:v>
                </c:pt>
                <c:pt idx="3">
                  <c:v>23</c:v>
                </c:pt>
                <c:pt idx="4">
                  <c:v>5</c:v>
                </c:pt>
                <c:pt idx="5">
                  <c:v>7</c:v>
                </c:pt>
                <c:pt idx="6">
                  <c:v>28</c:v>
                </c:pt>
                <c:pt idx="7">
                  <c:v>15</c:v>
                </c:pt>
                <c:pt idx="8">
                  <c:v>27</c:v>
                </c:pt>
                <c:pt idx="9">
                  <c:v>14</c:v>
                </c:pt>
                <c:pt idx="10">
                  <c:v>25</c:v>
                </c:pt>
                <c:pt idx="11">
                  <c:v>26</c:v>
                </c:pt>
                <c:pt idx="12">
                  <c:v>14</c:v>
                </c:pt>
              </c:numCache>
            </c:numRef>
          </c:val>
          <c:extLst>
            <c:ext xmlns:c16="http://schemas.microsoft.com/office/drawing/2014/chart" uri="{C3380CC4-5D6E-409C-BE32-E72D297353CC}">
              <c16:uniqueId val="{00000000-F5E5-4055-96BA-1B6A63165D2F}"/>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15</c:v>
                </c:pt>
                <c:pt idx="14">
                  <c:v>13</c:v>
                </c:pt>
                <c:pt idx="15">
                  <c:v>16</c:v>
                </c:pt>
                <c:pt idx="16">
                  <c:v>25</c:v>
                </c:pt>
                <c:pt idx="17">
                  <c:v>5</c:v>
                </c:pt>
                <c:pt idx="18">
                  <c:v>11</c:v>
                </c:pt>
                <c:pt idx="19">
                  <c:v>5</c:v>
                </c:pt>
                <c:pt idx="20">
                  <c:v>19</c:v>
                </c:pt>
                <c:pt idx="21">
                  <c:v>2</c:v>
                </c:pt>
                <c:pt idx="22">
                  <c:v>16</c:v>
                </c:pt>
                <c:pt idx="23">
                  <c:v>3</c:v>
                </c:pt>
                <c:pt idx="24">
                  <c:v>14</c:v>
                </c:pt>
                <c:pt idx="25">
                  <c:v>16</c:v>
                </c:pt>
                <c:pt idx="26">
                  <c:v>17</c:v>
                </c:pt>
                <c:pt idx="27">
                  <c:v>15</c:v>
                </c:pt>
                <c:pt idx="28">
                  <c:v>5</c:v>
                </c:pt>
                <c:pt idx="29">
                  <c:v>12</c:v>
                </c:pt>
                <c:pt idx="30">
                  <c:v>10</c:v>
                </c:pt>
                <c:pt idx="31">
                  <c:v>23</c:v>
                </c:pt>
                <c:pt idx="32">
                  <c:v>8</c:v>
                </c:pt>
                <c:pt idx="33">
                  <c:v>5</c:v>
                </c:pt>
                <c:pt idx="34">
                  <c:v>12</c:v>
                </c:pt>
                <c:pt idx="35">
                  <c:v>2</c:v>
                </c:pt>
                <c:pt idx="36">
                  <c:v>20</c:v>
                </c:pt>
                <c:pt idx="37">
                  <c:v>1</c:v>
                </c:pt>
                <c:pt idx="38">
                  <c:v>3</c:v>
                </c:pt>
                <c:pt idx="39">
                  <c:v>3</c:v>
                </c:pt>
              </c:numCache>
            </c:numRef>
          </c:val>
          <c:extLst>
            <c:ext xmlns:c16="http://schemas.microsoft.com/office/drawing/2014/chart" uri="{C3380CC4-5D6E-409C-BE32-E72D297353CC}">
              <c16:uniqueId val="{00000001-F5E5-4055-96BA-1B6A63165D2F}"/>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('2020 Bull Kelp Datasheet Site2'!$E$16:$E$35,'2020 Bull Kelp Datasheet Site2'!$J$16:$J$35)</c:f>
              <c:numCache>
                <c:formatCode>General</c:formatCode>
                <c:ptCount val="40"/>
                <c:pt idx="0">
                  <c:v>56.6</c:v>
                </c:pt>
                <c:pt idx="1">
                  <c:v>45.9</c:v>
                </c:pt>
                <c:pt idx="2">
                  <c:v>50.1</c:v>
                </c:pt>
                <c:pt idx="3">
                  <c:v>49.8</c:v>
                </c:pt>
                <c:pt idx="4">
                  <c:v>49.9</c:v>
                </c:pt>
                <c:pt idx="5">
                  <c:v>44.1</c:v>
                </c:pt>
                <c:pt idx="6">
                  <c:v>41.6</c:v>
                </c:pt>
                <c:pt idx="7">
                  <c:v>55</c:v>
                </c:pt>
                <c:pt idx="8">
                  <c:v>51.2</c:v>
                </c:pt>
                <c:pt idx="9">
                  <c:v>57.6</c:v>
                </c:pt>
                <c:pt idx="10">
                  <c:v>61.4</c:v>
                </c:pt>
                <c:pt idx="11">
                  <c:v>54.4</c:v>
                </c:pt>
                <c:pt idx="12">
                  <c:v>52.4</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F5E5-4055-96BA-1B6A63165D2F}"/>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solidFill>
                <a:srgbClr val="FF9900"/>
              </a:solidFill>
            </a:ln>
            <a:effectLst/>
          </c:spPr>
          <c:invertIfNegative val="0"/>
          <c:val>
            <c:numRef>
              <c:f>('2021 Bull Kelp Datasheet Site2'!$C$16:$C$35,'2021 Bull Kelp Datasheet Site2'!$H$16:$H$35)</c:f>
              <c:numCache>
                <c:formatCode>General</c:formatCode>
                <c:ptCount val="40"/>
                <c:pt idx="0">
                  <c:v>10</c:v>
                </c:pt>
                <c:pt idx="1">
                  <c:v>17</c:v>
                </c:pt>
                <c:pt idx="2">
                  <c:v>21</c:v>
                </c:pt>
                <c:pt idx="3">
                  <c:v>23</c:v>
                </c:pt>
                <c:pt idx="4">
                  <c:v>5</c:v>
                </c:pt>
                <c:pt idx="5">
                  <c:v>7</c:v>
                </c:pt>
                <c:pt idx="6">
                  <c:v>28</c:v>
                </c:pt>
                <c:pt idx="7">
                  <c:v>15</c:v>
                </c:pt>
                <c:pt idx="8">
                  <c:v>27</c:v>
                </c:pt>
                <c:pt idx="9">
                  <c:v>14</c:v>
                </c:pt>
                <c:pt idx="10">
                  <c:v>25</c:v>
                </c:pt>
                <c:pt idx="11">
                  <c:v>26</c:v>
                </c:pt>
                <c:pt idx="12">
                  <c:v>14</c:v>
                </c:pt>
              </c:numCache>
            </c:numRef>
          </c:val>
          <c:extLst>
            <c:ext xmlns:c16="http://schemas.microsoft.com/office/drawing/2014/chart" uri="{C3380CC4-5D6E-409C-BE32-E72D297353CC}">
              <c16:uniqueId val="{00000000-E7C2-4406-9A21-49448271A41D}"/>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15</c:v>
                </c:pt>
                <c:pt idx="14">
                  <c:v>13</c:v>
                </c:pt>
                <c:pt idx="15">
                  <c:v>16</c:v>
                </c:pt>
                <c:pt idx="16">
                  <c:v>25</c:v>
                </c:pt>
                <c:pt idx="17">
                  <c:v>5</c:v>
                </c:pt>
                <c:pt idx="18">
                  <c:v>11</c:v>
                </c:pt>
                <c:pt idx="19">
                  <c:v>5</c:v>
                </c:pt>
                <c:pt idx="20">
                  <c:v>19</c:v>
                </c:pt>
                <c:pt idx="21">
                  <c:v>2</c:v>
                </c:pt>
                <c:pt idx="22">
                  <c:v>16</c:v>
                </c:pt>
                <c:pt idx="23">
                  <c:v>3</c:v>
                </c:pt>
                <c:pt idx="24">
                  <c:v>14</c:v>
                </c:pt>
                <c:pt idx="25">
                  <c:v>16</c:v>
                </c:pt>
                <c:pt idx="26">
                  <c:v>17</c:v>
                </c:pt>
                <c:pt idx="27">
                  <c:v>15</c:v>
                </c:pt>
                <c:pt idx="28">
                  <c:v>5</c:v>
                </c:pt>
                <c:pt idx="29">
                  <c:v>12</c:v>
                </c:pt>
                <c:pt idx="30">
                  <c:v>10</c:v>
                </c:pt>
                <c:pt idx="31">
                  <c:v>23</c:v>
                </c:pt>
                <c:pt idx="32">
                  <c:v>8</c:v>
                </c:pt>
                <c:pt idx="33">
                  <c:v>5</c:v>
                </c:pt>
                <c:pt idx="34">
                  <c:v>12</c:v>
                </c:pt>
                <c:pt idx="35">
                  <c:v>2</c:v>
                </c:pt>
                <c:pt idx="36">
                  <c:v>20</c:v>
                </c:pt>
                <c:pt idx="37">
                  <c:v>1</c:v>
                </c:pt>
                <c:pt idx="38">
                  <c:v>3</c:v>
                </c:pt>
                <c:pt idx="39">
                  <c:v>3</c:v>
                </c:pt>
              </c:numCache>
            </c:numRef>
          </c:val>
          <c:extLst>
            <c:ext xmlns:c16="http://schemas.microsoft.com/office/drawing/2014/chart" uri="{C3380CC4-5D6E-409C-BE32-E72D297353CC}">
              <c16:uniqueId val="{00000001-E7C2-4406-9A21-49448271A41D}"/>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('2021 Bull Kelp Datasheet Site2'!$E$16:$E$35,'2021 Bull Kelp Datasheet Site2'!$J$16:$J$35)</c:f>
              <c:numCache>
                <c:formatCode>General</c:formatCode>
                <c:ptCount val="40"/>
                <c:pt idx="0">
                  <c:v>44.9</c:v>
                </c:pt>
                <c:pt idx="1">
                  <c:v>59.4</c:v>
                </c:pt>
                <c:pt idx="2">
                  <c:v>53.2</c:v>
                </c:pt>
                <c:pt idx="3">
                  <c:v>51.3</c:v>
                </c:pt>
                <c:pt idx="4">
                  <c:v>35.1</c:v>
                </c:pt>
                <c:pt idx="5">
                  <c:v>60.8</c:v>
                </c:pt>
                <c:pt idx="6">
                  <c:v>52.6</c:v>
                </c:pt>
                <c:pt idx="7">
                  <c:v>58.7</c:v>
                </c:pt>
                <c:pt idx="8">
                  <c:v>49.8</c:v>
                </c:pt>
                <c:pt idx="9">
                  <c:v>50.7</c:v>
                </c:pt>
                <c:pt idx="10">
                  <c:v>53.8</c:v>
                </c:pt>
                <c:pt idx="11">
                  <c:v>44.3</c:v>
                </c:pt>
                <c:pt idx="12">
                  <c:v>54.4</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E7C2-4406-9A21-49448271A41D}"/>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solidFill>
                <a:srgbClr val="FF9900"/>
              </a:solidFill>
            </a:ln>
            <a:effectLst/>
          </c:spPr>
          <c:invertIfNegative val="0"/>
          <c:val>
            <c:numRef>
              <c:f>('2022 Bull Kelp Datasheet Site2'!$C$16:$C$35,'2022 Bull Kelp Datasheet Site2'!$H$16:$H$35)</c:f>
              <c:numCache>
                <c:formatCode>General</c:formatCode>
                <c:ptCount val="40"/>
                <c:pt idx="0">
                  <c:v>10</c:v>
                </c:pt>
                <c:pt idx="1">
                  <c:v>17</c:v>
                </c:pt>
                <c:pt idx="2">
                  <c:v>21</c:v>
                </c:pt>
                <c:pt idx="3">
                  <c:v>23</c:v>
                </c:pt>
                <c:pt idx="4">
                  <c:v>5</c:v>
                </c:pt>
                <c:pt idx="5">
                  <c:v>7</c:v>
                </c:pt>
                <c:pt idx="6">
                  <c:v>28</c:v>
                </c:pt>
                <c:pt idx="7">
                  <c:v>15</c:v>
                </c:pt>
                <c:pt idx="8">
                  <c:v>27</c:v>
                </c:pt>
                <c:pt idx="9">
                  <c:v>14</c:v>
                </c:pt>
                <c:pt idx="10">
                  <c:v>25</c:v>
                </c:pt>
                <c:pt idx="11">
                  <c:v>26</c:v>
                </c:pt>
                <c:pt idx="12">
                  <c:v>14</c:v>
                </c:pt>
              </c:numCache>
            </c:numRef>
          </c:val>
          <c:extLst>
            <c:ext xmlns:c16="http://schemas.microsoft.com/office/drawing/2014/chart" uri="{C3380CC4-5D6E-409C-BE32-E72D297353CC}">
              <c16:uniqueId val="{00000000-7B72-4114-A1E0-EDACDFBEE683}"/>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15</c:v>
                </c:pt>
                <c:pt idx="14">
                  <c:v>13</c:v>
                </c:pt>
                <c:pt idx="15">
                  <c:v>16</c:v>
                </c:pt>
                <c:pt idx="16">
                  <c:v>25</c:v>
                </c:pt>
                <c:pt idx="17">
                  <c:v>5</c:v>
                </c:pt>
                <c:pt idx="18">
                  <c:v>11</c:v>
                </c:pt>
                <c:pt idx="19">
                  <c:v>5</c:v>
                </c:pt>
                <c:pt idx="20">
                  <c:v>19</c:v>
                </c:pt>
                <c:pt idx="21">
                  <c:v>2</c:v>
                </c:pt>
                <c:pt idx="22">
                  <c:v>16</c:v>
                </c:pt>
                <c:pt idx="23">
                  <c:v>3</c:v>
                </c:pt>
                <c:pt idx="24">
                  <c:v>14</c:v>
                </c:pt>
                <c:pt idx="25">
                  <c:v>16</c:v>
                </c:pt>
                <c:pt idx="26">
                  <c:v>17</c:v>
                </c:pt>
                <c:pt idx="27">
                  <c:v>15</c:v>
                </c:pt>
                <c:pt idx="28">
                  <c:v>5</c:v>
                </c:pt>
                <c:pt idx="29">
                  <c:v>12</c:v>
                </c:pt>
                <c:pt idx="30">
                  <c:v>10</c:v>
                </c:pt>
                <c:pt idx="31">
                  <c:v>23</c:v>
                </c:pt>
                <c:pt idx="32">
                  <c:v>8</c:v>
                </c:pt>
                <c:pt idx="33">
                  <c:v>5</c:v>
                </c:pt>
                <c:pt idx="34">
                  <c:v>12</c:v>
                </c:pt>
                <c:pt idx="35">
                  <c:v>2</c:v>
                </c:pt>
                <c:pt idx="36">
                  <c:v>20</c:v>
                </c:pt>
                <c:pt idx="37">
                  <c:v>1</c:v>
                </c:pt>
                <c:pt idx="38">
                  <c:v>3</c:v>
                </c:pt>
                <c:pt idx="39">
                  <c:v>3</c:v>
                </c:pt>
              </c:numCache>
            </c:numRef>
          </c:val>
          <c:extLst>
            <c:ext xmlns:c16="http://schemas.microsoft.com/office/drawing/2014/chart" uri="{C3380CC4-5D6E-409C-BE32-E72D297353CC}">
              <c16:uniqueId val="{00000001-7B72-4114-A1E0-EDACDFBEE683}"/>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('2022 Bull Kelp Datasheet Site2'!$E$16:$E$35,'2022 Bull Kelp Datasheet Site2'!$J$16:$J$35)</c:f>
              <c:numCache>
                <c:formatCode>General</c:formatCode>
                <c:ptCount val="40"/>
                <c:pt idx="0">
                  <c:v>65.2</c:v>
                </c:pt>
                <c:pt idx="1">
                  <c:v>53.1</c:v>
                </c:pt>
                <c:pt idx="2">
                  <c:v>46</c:v>
                </c:pt>
                <c:pt idx="3">
                  <c:v>54.6</c:v>
                </c:pt>
                <c:pt idx="4">
                  <c:v>55.3</c:v>
                </c:pt>
                <c:pt idx="5">
                  <c:v>61.8</c:v>
                </c:pt>
                <c:pt idx="6">
                  <c:v>50.3</c:v>
                </c:pt>
                <c:pt idx="7">
                  <c:v>47.6</c:v>
                </c:pt>
                <c:pt idx="8">
                  <c:v>45.7</c:v>
                </c:pt>
                <c:pt idx="9">
                  <c:v>53.5</c:v>
                </c:pt>
                <c:pt idx="10">
                  <c:v>44.5</c:v>
                </c:pt>
                <c:pt idx="11">
                  <c:v>46.3</c:v>
                </c:pt>
                <c:pt idx="12">
                  <c:v>50.8</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7B72-4114-A1E0-EDACDFBEE683}"/>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solidFill>
                <a:srgbClr val="FF9900"/>
              </a:solidFill>
            </a:ln>
            <a:effectLst/>
          </c:spPr>
          <c:invertIfNegative val="0"/>
          <c:val>
            <c:numRef>
              <c:f>('2023 Bull Kelp Datasheet Site2'!$C$16:$C$35,'2023 Bull Kelp Datasheet Site2'!$H$16:$H$35)</c:f>
              <c:numCache>
                <c:formatCode>General</c:formatCode>
                <c:ptCount val="40"/>
                <c:pt idx="0">
                  <c:v>10</c:v>
                </c:pt>
                <c:pt idx="1">
                  <c:v>17</c:v>
                </c:pt>
                <c:pt idx="2">
                  <c:v>21</c:v>
                </c:pt>
                <c:pt idx="3">
                  <c:v>23</c:v>
                </c:pt>
                <c:pt idx="4">
                  <c:v>5</c:v>
                </c:pt>
                <c:pt idx="5">
                  <c:v>7</c:v>
                </c:pt>
                <c:pt idx="6">
                  <c:v>28</c:v>
                </c:pt>
                <c:pt idx="7">
                  <c:v>15</c:v>
                </c:pt>
                <c:pt idx="8">
                  <c:v>27</c:v>
                </c:pt>
                <c:pt idx="9">
                  <c:v>14</c:v>
                </c:pt>
                <c:pt idx="10">
                  <c:v>25</c:v>
                </c:pt>
                <c:pt idx="11">
                  <c:v>26</c:v>
                </c:pt>
                <c:pt idx="12">
                  <c:v>14</c:v>
                </c:pt>
                <c:pt idx="13">
                  <c:v>8</c:v>
                </c:pt>
                <c:pt idx="14">
                  <c:v>9</c:v>
                </c:pt>
                <c:pt idx="15">
                  <c:v>6</c:v>
                </c:pt>
                <c:pt idx="16">
                  <c:v>4</c:v>
                </c:pt>
                <c:pt idx="17">
                  <c:v>5</c:v>
                </c:pt>
                <c:pt idx="18">
                  <c:v>1</c:v>
                </c:pt>
                <c:pt idx="19">
                  <c:v>23</c:v>
                </c:pt>
              </c:numCache>
            </c:numRef>
          </c:val>
          <c:extLst>
            <c:ext xmlns:c16="http://schemas.microsoft.com/office/drawing/2014/chart" uri="{C3380CC4-5D6E-409C-BE32-E72D297353CC}">
              <c16:uniqueId val="{00000000-FB0B-4195-8146-488D244BE6C7}"/>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15</c:v>
                </c:pt>
                <c:pt idx="14">
                  <c:v>13</c:v>
                </c:pt>
                <c:pt idx="15">
                  <c:v>16</c:v>
                </c:pt>
                <c:pt idx="16">
                  <c:v>25</c:v>
                </c:pt>
                <c:pt idx="17">
                  <c:v>5</c:v>
                </c:pt>
                <c:pt idx="18">
                  <c:v>11</c:v>
                </c:pt>
                <c:pt idx="19">
                  <c:v>5</c:v>
                </c:pt>
                <c:pt idx="20">
                  <c:v>19</c:v>
                </c:pt>
                <c:pt idx="21">
                  <c:v>2</c:v>
                </c:pt>
                <c:pt idx="22">
                  <c:v>16</c:v>
                </c:pt>
                <c:pt idx="23">
                  <c:v>3</c:v>
                </c:pt>
                <c:pt idx="24">
                  <c:v>14</c:v>
                </c:pt>
                <c:pt idx="25">
                  <c:v>16</c:v>
                </c:pt>
                <c:pt idx="26">
                  <c:v>17</c:v>
                </c:pt>
                <c:pt idx="27">
                  <c:v>15</c:v>
                </c:pt>
                <c:pt idx="28">
                  <c:v>5</c:v>
                </c:pt>
                <c:pt idx="29">
                  <c:v>12</c:v>
                </c:pt>
                <c:pt idx="30">
                  <c:v>10</c:v>
                </c:pt>
                <c:pt idx="31">
                  <c:v>23</c:v>
                </c:pt>
                <c:pt idx="32">
                  <c:v>8</c:v>
                </c:pt>
                <c:pt idx="33">
                  <c:v>5</c:v>
                </c:pt>
                <c:pt idx="34">
                  <c:v>12</c:v>
                </c:pt>
                <c:pt idx="35">
                  <c:v>2</c:v>
                </c:pt>
                <c:pt idx="36">
                  <c:v>20</c:v>
                </c:pt>
                <c:pt idx="37">
                  <c:v>1</c:v>
                </c:pt>
                <c:pt idx="38">
                  <c:v>3</c:v>
                </c:pt>
                <c:pt idx="39">
                  <c:v>3</c:v>
                </c:pt>
              </c:numCache>
            </c:numRef>
          </c:val>
          <c:extLst>
            <c:ext xmlns:c16="http://schemas.microsoft.com/office/drawing/2014/chart" uri="{C3380CC4-5D6E-409C-BE32-E72D297353CC}">
              <c16:uniqueId val="{00000001-FB0B-4195-8146-488D244BE6C7}"/>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('2023 Bull Kelp Datasheet Site2'!$E$16:$E$35,'2023 Bull Kelp Datasheet Site2'!$J$16:$J$35)</c:f>
              <c:numCache>
                <c:formatCode>General</c:formatCode>
                <c:ptCount val="40"/>
                <c:pt idx="0">
                  <c:v>48.9</c:v>
                </c:pt>
                <c:pt idx="1">
                  <c:v>52.7</c:v>
                </c:pt>
                <c:pt idx="2">
                  <c:v>43.5</c:v>
                </c:pt>
                <c:pt idx="3">
                  <c:v>51.5</c:v>
                </c:pt>
                <c:pt idx="4">
                  <c:v>57.8</c:v>
                </c:pt>
                <c:pt idx="5">
                  <c:v>60.5</c:v>
                </c:pt>
                <c:pt idx="6">
                  <c:v>46</c:v>
                </c:pt>
                <c:pt idx="7">
                  <c:v>61.2</c:v>
                </c:pt>
                <c:pt idx="8">
                  <c:v>50.9</c:v>
                </c:pt>
                <c:pt idx="9">
                  <c:v>46.5</c:v>
                </c:pt>
                <c:pt idx="10">
                  <c:v>35.9</c:v>
                </c:pt>
                <c:pt idx="11">
                  <c:v>55.6</c:v>
                </c:pt>
                <c:pt idx="12">
                  <c:v>52.9</c:v>
                </c:pt>
                <c:pt idx="13">
                  <c:v>53</c:v>
                </c:pt>
                <c:pt idx="14">
                  <c:v>50.4</c:v>
                </c:pt>
                <c:pt idx="15">
                  <c:v>48.7</c:v>
                </c:pt>
                <c:pt idx="16">
                  <c:v>60.9</c:v>
                </c:pt>
                <c:pt idx="17">
                  <c:v>50.1</c:v>
                </c:pt>
                <c:pt idx="18">
                  <c:v>49.9</c:v>
                </c:pt>
                <c:pt idx="19">
                  <c:v>43.4</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FB0B-4195-8146-488D244BE6C7}"/>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Number of Bulbs</c:v>
          </c:tx>
          <c:spPr>
            <a:solidFill>
              <a:srgbClr val="FF9900"/>
            </a:solidFill>
            <a:ln>
              <a:solidFill>
                <a:srgbClr val="FF9900"/>
              </a:solidFill>
            </a:ln>
            <a:effectLst/>
          </c:spPr>
          <c:invertIfNegative val="0"/>
          <c:val>
            <c:numRef>
              <c:f>('2024 Bull Kelp Datasheet Site2'!$C$16:$C$35,'2024 Bull Kelp Datasheet Site2'!$H$16:$H$35)</c:f>
              <c:numCache>
                <c:formatCode>General</c:formatCode>
                <c:ptCount val="40"/>
                <c:pt idx="0">
                  <c:v>10</c:v>
                </c:pt>
                <c:pt idx="1">
                  <c:v>17</c:v>
                </c:pt>
                <c:pt idx="2">
                  <c:v>21</c:v>
                </c:pt>
                <c:pt idx="3">
                  <c:v>23</c:v>
                </c:pt>
                <c:pt idx="4">
                  <c:v>5</c:v>
                </c:pt>
                <c:pt idx="5">
                  <c:v>7</c:v>
                </c:pt>
                <c:pt idx="6">
                  <c:v>28</c:v>
                </c:pt>
                <c:pt idx="7">
                  <c:v>15</c:v>
                </c:pt>
                <c:pt idx="8">
                  <c:v>27</c:v>
                </c:pt>
                <c:pt idx="9">
                  <c:v>14</c:v>
                </c:pt>
                <c:pt idx="10">
                  <c:v>25</c:v>
                </c:pt>
                <c:pt idx="11">
                  <c:v>26</c:v>
                </c:pt>
                <c:pt idx="12">
                  <c:v>14</c:v>
                </c:pt>
              </c:numCache>
            </c:numRef>
          </c:val>
          <c:extLst>
            <c:ext xmlns:c16="http://schemas.microsoft.com/office/drawing/2014/chart" uri="{C3380CC4-5D6E-409C-BE32-E72D297353CC}">
              <c16:uniqueId val="{00000000-E279-402B-90E7-BEB3EA696AF3}"/>
            </c:ext>
          </c:extLst>
        </c:ser>
        <c:ser>
          <c:idx val="0"/>
          <c:order val="1"/>
          <c:tx>
            <c:v>BLANK</c:v>
          </c:tx>
          <c:spPr>
            <a:noFill/>
            <a:ln>
              <a:noFill/>
            </a:ln>
            <a:effectLst/>
          </c:spPr>
          <c:invertIfNegative val="0"/>
          <c:val>
            <c:numRef>
              <c:f>('2019 Bull Kelp Datasheet Site1'!$C$16:$C$35,'2019 Bull Kelp Datasheet Site1'!$H$16:$H$35)</c:f>
              <c:numCache>
                <c:formatCode>General</c:formatCode>
                <c:ptCount val="40"/>
                <c:pt idx="0">
                  <c:v>5</c:v>
                </c:pt>
                <c:pt idx="1">
                  <c:v>15</c:v>
                </c:pt>
                <c:pt idx="2">
                  <c:v>10</c:v>
                </c:pt>
                <c:pt idx="3">
                  <c:v>3</c:v>
                </c:pt>
                <c:pt idx="4">
                  <c:v>8</c:v>
                </c:pt>
                <c:pt idx="5">
                  <c:v>4</c:v>
                </c:pt>
                <c:pt idx="6">
                  <c:v>10</c:v>
                </c:pt>
                <c:pt idx="7">
                  <c:v>13</c:v>
                </c:pt>
                <c:pt idx="8">
                  <c:v>19</c:v>
                </c:pt>
                <c:pt idx="9">
                  <c:v>8</c:v>
                </c:pt>
                <c:pt idx="10">
                  <c:v>20</c:v>
                </c:pt>
                <c:pt idx="11">
                  <c:v>19</c:v>
                </c:pt>
                <c:pt idx="12">
                  <c:v>8</c:v>
                </c:pt>
                <c:pt idx="13">
                  <c:v>15</c:v>
                </c:pt>
                <c:pt idx="14">
                  <c:v>13</c:v>
                </c:pt>
                <c:pt idx="15">
                  <c:v>16</c:v>
                </c:pt>
                <c:pt idx="16">
                  <c:v>25</c:v>
                </c:pt>
                <c:pt idx="17">
                  <c:v>5</c:v>
                </c:pt>
                <c:pt idx="18">
                  <c:v>11</c:v>
                </c:pt>
                <c:pt idx="19">
                  <c:v>5</c:v>
                </c:pt>
                <c:pt idx="20">
                  <c:v>19</c:v>
                </c:pt>
                <c:pt idx="21">
                  <c:v>2</c:v>
                </c:pt>
                <c:pt idx="22">
                  <c:v>16</c:v>
                </c:pt>
                <c:pt idx="23">
                  <c:v>3</c:v>
                </c:pt>
                <c:pt idx="24">
                  <c:v>14</c:v>
                </c:pt>
                <c:pt idx="25">
                  <c:v>16</c:v>
                </c:pt>
                <c:pt idx="26">
                  <c:v>17</c:v>
                </c:pt>
                <c:pt idx="27">
                  <c:v>15</c:v>
                </c:pt>
                <c:pt idx="28">
                  <c:v>5</c:v>
                </c:pt>
                <c:pt idx="29">
                  <c:v>12</c:v>
                </c:pt>
                <c:pt idx="30">
                  <c:v>10</c:v>
                </c:pt>
                <c:pt idx="31">
                  <c:v>23</c:v>
                </c:pt>
                <c:pt idx="32">
                  <c:v>8</c:v>
                </c:pt>
                <c:pt idx="33">
                  <c:v>5</c:v>
                </c:pt>
                <c:pt idx="34">
                  <c:v>12</c:v>
                </c:pt>
                <c:pt idx="35">
                  <c:v>2</c:v>
                </c:pt>
                <c:pt idx="36">
                  <c:v>20</c:v>
                </c:pt>
                <c:pt idx="37">
                  <c:v>1</c:v>
                </c:pt>
                <c:pt idx="38">
                  <c:v>3</c:v>
                </c:pt>
                <c:pt idx="39">
                  <c:v>3</c:v>
                </c:pt>
              </c:numCache>
            </c:numRef>
          </c:val>
          <c:extLst>
            <c:ext xmlns:c16="http://schemas.microsoft.com/office/drawing/2014/chart" uri="{C3380CC4-5D6E-409C-BE32-E72D297353CC}">
              <c16:uniqueId val="{00000001-E279-402B-90E7-BEB3EA696AF3}"/>
            </c:ext>
          </c:extLst>
        </c:ser>
        <c:dLbls>
          <c:showLegendKey val="0"/>
          <c:showVal val="0"/>
          <c:showCatName val="0"/>
          <c:showSerName val="0"/>
          <c:showPercent val="0"/>
          <c:showBubbleSize val="0"/>
        </c:dLbls>
        <c:gapWidth val="0"/>
        <c:overlap val="-100"/>
        <c:axId val="677164255"/>
        <c:axId val="677178175"/>
      </c:barChart>
      <c:barChart>
        <c:barDir val="col"/>
        <c:grouping val="clustered"/>
        <c:varyColors val="0"/>
        <c:ser>
          <c:idx val="2"/>
          <c:order val="2"/>
          <c:tx>
            <c:v>Average Stipe Diameter</c:v>
          </c:tx>
          <c:spPr>
            <a:solidFill>
              <a:schemeClr val="accent6">
                <a:lumMod val="75000"/>
              </a:schemeClr>
            </a:solidFill>
            <a:ln>
              <a:solidFill>
                <a:schemeClr val="accent6">
                  <a:lumMod val="75000"/>
                </a:schemeClr>
              </a:solidFill>
            </a:ln>
            <a:effectLst/>
          </c:spPr>
          <c:invertIfNegative val="0"/>
          <c:val>
            <c:numRef>
              <c:f>('2024 Bull Kelp Datasheet Site2'!$E$16:$E$35,'2024 Bull Kelp Datasheet Site2'!$J$16:$J$35)</c:f>
              <c:numCache>
                <c:formatCode>General</c:formatCode>
                <c:ptCount val="40"/>
                <c:pt idx="0">
                  <c:v>49.2</c:v>
                </c:pt>
                <c:pt idx="1">
                  <c:v>44.1</c:v>
                </c:pt>
                <c:pt idx="2">
                  <c:v>55.6</c:v>
                </c:pt>
                <c:pt idx="3">
                  <c:v>55.6</c:v>
                </c:pt>
                <c:pt idx="4">
                  <c:v>52.9</c:v>
                </c:pt>
                <c:pt idx="5">
                  <c:v>51.8</c:v>
                </c:pt>
                <c:pt idx="6">
                  <c:v>43.7</c:v>
                </c:pt>
                <c:pt idx="7">
                  <c:v>47.7</c:v>
                </c:pt>
                <c:pt idx="8">
                  <c:v>53.8</c:v>
                </c:pt>
                <c:pt idx="9">
                  <c:v>62.1</c:v>
                </c:pt>
                <c:pt idx="10">
                  <c:v>51.8</c:v>
                </c:pt>
                <c:pt idx="11">
                  <c:v>60.4</c:v>
                </c:pt>
                <c:pt idx="12">
                  <c:v>58.1</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numCache>
            </c:numRef>
          </c:val>
          <c:extLst>
            <c:ext xmlns:c16="http://schemas.microsoft.com/office/drawing/2014/chart" uri="{C3380CC4-5D6E-409C-BE32-E72D297353CC}">
              <c16:uniqueId val="{00000002-E279-402B-90E7-BEB3EA696AF3}"/>
            </c:ext>
          </c:extLst>
        </c:ser>
        <c:dLbls>
          <c:showLegendKey val="0"/>
          <c:showVal val="0"/>
          <c:showCatName val="0"/>
          <c:showSerName val="0"/>
          <c:showPercent val="0"/>
          <c:showBubbleSize val="0"/>
        </c:dLbls>
        <c:gapWidth val="267"/>
        <c:overlap val="-100"/>
        <c:axId val="538780127"/>
        <c:axId val="538779167"/>
      </c:barChart>
      <c:catAx>
        <c:axId val="677164255"/>
        <c:scaling>
          <c:orientation val="minMax"/>
        </c:scaling>
        <c:delete val="0"/>
        <c:axPos val="b"/>
        <c:title>
          <c:tx>
            <c:rich>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Quadrat</a:t>
                </a:r>
              </a:p>
            </c:rich>
          </c:tx>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n-US"/>
          </a:p>
        </c:txPr>
        <c:crossAx val="677178175"/>
        <c:crosses val="autoZero"/>
        <c:auto val="1"/>
        <c:lblAlgn val="ctr"/>
        <c:lblOffset val="100"/>
        <c:tickLblSkip val="1"/>
        <c:noMultiLvlLbl val="0"/>
      </c:catAx>
      <c:valAx>
        <c:axId val="67717817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US" sz="1600">
                    <a:solidFill>
                      <a:sysClr val="windowText" lastClr="000000"/>
                    </a:solidFill>
                  </a:rPr>
                  <a:t>Number of Bulbs</a:t>
                </a: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677164255"/>
        <c:crosses val="autoZero"/>
        <c:crossBetween val="between"/>
      </c:valAx>
      <c:valAx>
        <c:axId val="538779167"/>
        <c:scaling>
          <c:orientation val="minMax"/>
        </c:scaling>
        <c:delete val="0"/>
        <c:axPos val="r"/>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solidFill>
                      <a:sysClr val="windowText" lastClr="000000"/>
                    </a:solidFill>
                  </a:rPr>
                  <a:t>Average</a:t>
                </a:r>
                <a:r>
                  <a:rPr lang="en-US" sz="1600" baseline="0">
                    <a:solidFill>
                      <a:sysClr val="windowText" lastClr="000000"/>
                    </a:solidFill>
                  </a:rPr>
                  <a:t> Stipe Diameter (mm)</a:t>
                </a:r>
                <a:endParaRPr lang="en-US"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538780127"/>
        <c:crosses val="max"/>
        <c:crossBetween val="between"/>
      </c:valAx>
      <c:catAx>
        <c:axId val="538780127"/>
        <c:scaling>
          <c:orientation val="minMax"/>
        </c:scaling>
        <c:delete val="1"/>
        <c:axPos val="b"/>
        <c:majorTickMark val="out"/>
        <c:minorTickMark val="none"/>
        <c:tickLblPos val="nextTo"/>
        <c:crossAx val="538779167"/>
        <c:crosses val="autoZero"/>
        <c:auto val="1"/>
        <c:lblAlgn val="ctr"/>
        <c:lblOffset val="100"/>
        <c:noMultiLvlLbl val="0"/>
      </c:catAx>
      <c:spPr>
        <a:noFill/>
        <a:ln>
          <a:noFill/>
        </a:ln>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'Site 1 Bull Kelp Summary'!$C$11:$F$11</c:f>
              <c:strCache>
                <c:ptCount val="4"/>
                <c:pt idx="0">
                  <c:v>Bull Kelp Density (per m2)</c:v>
                </c:pt>
              </c:strCache>
            </c:strRef>
          </c:tx>
          <c:spPr>
            <a:solidFill>
              <a:schemeClr val="accent2"/>
            </a:solidFill>
            <a:ln>
              <a:noFill/>
            </a:ln>
            <a:effectLst/>
          </c:spPr>
          <c:invertIfNegative val="0"/>
          <c:dPt>
            <c:idx val="2"/>
            <c:invertIfNegative val="0"/>
            <c:bubble3D val="0"/>
            <c:spPr>
              <a:solidFill>
                <a:schemeClr val="accent2"/>
              </a:solidFill>
              <a:ln>
                <a:noFill/>
              </a:ln>
              <a:effectLst/>
            </c:spPr>
            <c:extLst>
              <c:ext xmlns:c16="http://schemas.microsoft.com/office/drawing/2014/chart" uri="{C3380CC4-5D6E-409C-BE32-E72D297353CC}">
                <c16:uniqueId val="{00000001-1C62-4C19-A181-06F1483FCDE9}"/>
              </c:ext>
            </c:extLst>
          </c:dPt>
          <c:errBars>
            <c:errBarType val="both"/>
            <c:errValType val="cust"/>
            <c:noEndCap val="0"/>
            <c:plus>
              <c:numRef>
                <c:f>'Site 1 Bull Kelp Summary'!$C$14:$H$14</c:f>
                <c:numCache>
                  <c:formatCode>General</c:formatCode>
                  <c:ptCount val="6"/>
                  <c:pt idx="0">
                    <c:v>6.4379732835730223</c:v>
                  </c:pt>
                  <c:pt idx="1">
                    <c:v>4.8010415536631212</c:v>
                  </c:pt>
                  <c:pt idx="2">
                    <c:v>7.9651608258872288</c:v>
                  </c:pt>
                  <c:pt idx="3">
                    <c:v>7.4611419402967023</c:v>
                  </c:pt>
                  <c:pt idx="4">
                    <c:v>8.1061741389879867</c:v>
                  </c:pt>
                  <c:pt idx="5">
                    <c:v>6.7608684767974623</c:v>
                  </c:pt>
                </c:numCache>
              </c:numRef>
            </c:plus>
            <c:minus>
              <c:numRef>
                <c:f>'Site 1 Bull Kelp Summary'!$C$14:$H$14</c:f>
                <c:numCache>
                  <c:formatCode>General</c:formatCode>
                  <c:ptCount val="6"/>
                  <c:pt idx="0">
                    <c:v>6.4379732835730223</c:v>
                  </c:pt>
                  <c:pt idx="1">
                    <c:v>4.8010415536631212</c:v>
                  </c:pt>
                  <c:pt idx="2">
                    <c:v>7.9651608258872288</c:v>
                  </c:pt>
                  <c:pt idx="3">
                    <c:v>7.4611419402967023</c:v>
                  </c:pt>
                  <c:pt idx="4">
                    <c:v>8.1061741389879867</c:v>
                  </c:pt>
                  <c:pt idx="5">
                    <c:v>6.7608684767974623</c:v>
                  </c:pt>
                </c:numCache>
              </c:numRef>
            </c:minus>
            <c:spPr>
              <a:noFill/>
              <a:ln w="9525" cap="flat" cmpd="sng" algn="ctr">
                <a:solidFill>
                  <a:schemeClr val="tx1">
                    <a:lumMod val="65000"/>
                    <a:lumOff val="35000"/>
                  </a:schemeClr>
                </a:solidFill>
                <a:round/>
              </a:ln>
              <a:effectLst/>
            </c:spPr>
          </c:errBars>
          <c:cat>
            <c:strRef>
              <c:f>'Site 1 Bull Kelp Summary'!$C$12:$H$12</c:f>
              <c:strCache>
                <c:ptCount val="6"/>
                <c:pt idx="0">
                  <c:v>2019 (n = 40)</c:v>
                </c:pt>
                <c:pt idx="1">
                  <c:v>2020 (n = 10)</c:v>
                </c:pt>
                <c:pt idx="2">
                  <c:v>2021 (n = 26)</c:v>
                </c:pt>
                <c:pt idx="3">
                  <c:v>2022 (n = 13)</c:v>
                </c:pt>
                <c:pt idx="4">
                  <c:v>2023 (n = 27)</c:v>
                </c:pt>
                <c:pt idx="5">
                  <c:v>2024 (n = 17)</c:v>
                </c:pt>
              </c:strCache>
            </c:strRef>
          </c:cat>
          <c:val>
            <c:numRef>
              <c:f>'Site 1 Bull Kelp Summary'!$C$13:$H$13</c:f>
              <c:numCache>
                <c:formatCode>0</c:formatCode>
                <c:ptCount val="6"/>
                <c:pt idx="0">
                  <c:v>10.95</c:v>
                </c:pt>
                <c:pt idx="1">
                  <c:v>9.5</c:v>
                </c:pt>
                <c:pt idx="2">
                  <c:v>12.692307692307692</c:v>
                </c:pt>
                <c:pt idx="3">
                  <c:v>17.846153846153847</c:v>
                </c:pt>
                <c:pt idx="4">
                  <c:v>14.461538461538462</c:v>
                </c:pt>
                <c:pt idx="5">
                  <c:v>17.764705882352942</c:v>
                </c:pt>
              </c:numCache>
            </c:numRef>
          </c:val>
          <c:extLst>
            <c:ext xmlns:c16="http://schemas.microsoft.com/office/drawing/2014/chart" uri="{C3380CC4-5D6E-409C-BE32-E72D297353CC}">
              <c16:uniqueId val="{00000002-1C62-4C19-A181-06F1483FCDE9}"/>
            </c:ext>
          </c:extLst>
        </c:ser>
        <c:dLbls>
          <c:showLegendKey val="0"/>
          <c:showVal val="0"/>
          <c:showCatName val="0"/>
          <c:showSerName val="0"/>
          <c:showPercent val="0"/>
          <c:showBubbleSize val="0"/>
        </c:dLbls>
        <c:gapWidth val="287"/>
        <c:axId val="580046800"/>
        <c:axId val="580029040"/>
      </c:barChart>
      <c:lineChart>
        <c:grouping val="standard"/>
        <c:varyColors val="0"/>
        <c:ser>
          <c:idx val="0"/>
          <c:order val="1"/>
          <c:tx>
            <c:strRef>
              <c:f>'Site 1 Bull Kelp Summary'!$C$5:$F$5</c:f>
              <c:strCache>
                <c:ptCount val="4"/>
                <c:pt idx="0">
                  <c:v>Bull Kelp Bed Extent (m2)</c:v>
                </c:pt>
              </c:strCache>
            </c:strRef>
          </c:tx>
          <c:spPr>
            <a:ln w="28575" cap="rnd">
              <a:solidFill>
                <a:srgbClr val="3399FF"/>
              </a:solidFill>
              <a:round/>
            </a:ln>
            <a:effectLst/>
          </c:spPr>
          <c:marker>
            <c:symbol val="none"/>
          </c:marker>
          <c:errBars>
            <c:errDir val="y"/>
            <c:errBarType val="both"/>
            <c:errValType val="cust"/>
            <c:noEndCap val="0"/>
            <c:plus>
              <c:numRef>
                <c:f>'Site 1 Bull Kelp Summary'!$C$8:$F$8</c:f>
                <c:numCache>
                  <c:formatCode>General</c:formatCode>
                  <c:ptCount val="4"/>
                </c:numCache>
              </c:numRef>
            </c:plus>
            <c:minus>
              <c:numRef>
                <c:f>'Site 1 Bull Kelp Summary'!$C$8:$F$8</c:f>
                <c:numCache>
                  <c:formatCode>General</c:formatCode>
                  <c:ptCount val="4"/>
                </c:numCache>
              </c:numRef>
            </c:minus>
            <c:spPr>
              <a:noFill/>
              <a:ln w="12700" cap="flat" cmpd="sng" algn="ctr">
                <a:solidFill>
                  <a:schemeClr val="tx1"/>
                </a:solidFill>
                <a:round/>
              </a:ln>
              <a:effectLst/>
            </c:spPr>
          </c:errBars>
          <c:cat>
            <c:strRef>
              <c:f>'Site 1 Bull Kelp Summary'!$C$12:$H$12</c:f>
              <c:strCache>
                <c:ptCount val="6"/>
                <c:pt idx="0">
                  <c:v>2019 (n = 40)</c:v>
                </c:pt>
                <c:pt idx="1">
                  <c:v>2020 (n = 10)</c:v>
                </c:pt>
                <c:pt idx="2">
                  <c:v>2021 (n = 26)</c:v>
                </c:pt>
                <c:pt idx="3">
                  <c:v>2022 (n = 13)</c:v>
                </c:pt>
                <c:pt idx="4">
                  <c:v>2023 (n = 27)</c:v>
                </c:pt>
                <c:pt idx="5">
                  <c:v>2024 (n = 17)</c:v>
                </c:pt>
              </c:strCache>
            </c:strRef>
          </c:cat>
          <c:val>
            <c:numRef>
              <c:f>'Site 1 Bull Kelp Summary'!$C$7:$H$7</c:f>
              <c:numCache>
                <c:formatCode>0</c:formatCode>
                <c:ptCount val="6"/>
                <c:pt idx="0">
                  <c:v>700</c:v>
                </c:pt>
                <c:pt idx="1">
                  <c:v>600</c:v>
                </c:pt>
                <c:pt idx="2">
                  <c:v>850</c:v>
                </c:pt>
                <c:pt idx="3">
                  <c:v>1500</c:v>
                </c:pt>
                <c:pt idx="4">
                  <c:v>1000</c:v>
                </c:pt>
                <c:pt idx="5">
                  <c:v>800</c:v>
                </c:pt>
              </c:numCache>
            </c:numRef>
          </c:val>
          <c:smooth val="0"/>
          <c:extLst>
            <c:ext xmlns:c16="http://schemas.microsoft.com/office/drawing/2014/chart" uri="{C3380CC4-5D6E-409C-BE32-E72D297353CC}">
              <c16:uniqueId val="{00000003-1C62-4C19-A181-06F1483FCDE9}"/>
            </c:ext>
          </c:extLst>
        </c:ser>
        <c:dLbls>
          <c:showLegendKey val="0"/>
          <c:showVal val="0"/>
          <c:showCatName val="0"/>
          <c:showSerName val="0"/>
          <c:showPercent val="0"/>
          <c:showBubbleSize val="0"/>
        </c:dLbls>
        <c:marker val="1"/>
        <c:smooth val="0"/>
        <c:axId val="339568208"/>
        <c:axId val="469117544"/>
      </c:lineChart>
      <c:catAx>
        <c:axId val="580046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1200" b="0" i="0" u="none" strike="noStrike" kern="1200" baseline="0">
                <a:solidFill>
                  <a:schemeClr val="tx1"/>
                </a:solidFill>
                <a:latin typeface="+mn-lt"/>
                <a:ea typeface="+mn-ea"/>
                <a:cs typeface="+mn-cs"/>
              </a:defRPr>
            </a:pPr>
            <a:endParaRPr lang="en-US"/>
          </a:p>
        </c:txPr>
        <c:crossAx val="580029040"/>
        <c:crosses val="autoZero"/>
        <c:auto val="1"/>
        <c:lblAlgn val="ctr"/>
        <c:lblOffset val="100"/>
        <c:noMultiLvlLbl val="0"/>
      </c:catAx>
      <c:valAx>
        <c:axId val="580029040"/>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CA" sz="1600">
                    <a:solidFill>
                      <a:sysClr val="windowText" lastClr="000000"/>
                    </a:solidFill>
                  </a:rPr>
                  <a:t>Kelp Density (per m</a:t>
                </a:r>
                <a:r>
                  <a:rPr lang="en-CA" sz="1600" baseline="30000">
                    <a:solidFill>
                      <a:sysClr val="windowText" lastClr="000000"/>
                    </a:solidFill>
                  </a:rPr>
                  <a:t>2</a:t>
                </a:r>
                <a:r>
                  <a:rPr lang="en-CA" sz="1600">
                    <a:solidFill>
                      <a:sysClr val="windowText" lastClr="000000"/>
                    </a:solidFill>
                  </a:rPr>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n-US"/>
          </a:p>
        </c:txPr>
        <c:crossAx val="580046800"/>
        <c:crosses val="autoZero"/>
        <c:crossBetween val="between"/>
      </c:valAx>
      <c:valAx>
        <c:axId val="469117544"/>
        <c:scaling>
          <c:orientation val="minMax"/>
        </c:scaling>
        <c:delete val="0"/>
        <c:axPos val="r"/>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CA" sz="1600">
                    <a:solidFill>
                      <a:sysClr val="windowText" lastClr="000000"/>
                    </a:solidFill>
                  </a:rPr>
                  <a:t>Kelp Bed</a:t>
                </a:r>
                <a:r>
                  <a:rPr lang="en-CA" sz="1600" baseline="0">
                    <a:solidFill>
                      <a:sysClr val="windowText" lastClr="000000"/>
                    </a:solidFill>
                  </a:rPr>
                  <a:t> Extent (Area m</a:t>
                </a:r>
                <a:r>
                  <a:rPr lang="en-CA" sz="1600" baseline="30000">
                    <a:solidFill>
                      <a:sysClr val="windowText" lastClr="000000"/>
                    </a:solidFill>
                  </a:rPr>
                  <a:t>2</a:t>
                </a:r>
                <a:r>
                  <a:rPr lang="en-CA" sz="1600" baseline="0">
                    <a:solidFill>
                      <a:sysClr val="windowText" lastClr="000000"/>
                    </a:solidFill>
                  </a:rPr>
                  <a:t>)</a:t>
                </a:r>
                <a:endParaRPr lang="en-CA"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0"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339568208"/>
        <c:crosses val="max"/>
        <c:crossBetween val="between"/>
      </c:valAx>
      <c:catAx>
        <c:axId val="339568208"/>
        <c:scaling>
          <c:orientation val="minMax"/>
        </c:scaling>
        <c:delete val="1"/>
        <c:axPos val="b"/>
        <c:numFmt formatCode="General" sourceLinked="1"/>
        <c:majorTickMark val="out"/>
        <c:minorTickMark val="none"/>
        <c:tickLblPos val="nextTo"/>
        <c:crossAx val="4691175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solidFill>
                  <a:sysClr val="windowText" lastClr="000000"/>
                </a:solidFill>
              </a:rPr>
              <a:t>Figure 2</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barChart>
        <c:barDir val="col"/>
        <c:grouping val="clustered"/>
        <c:varyColors val="0"/>
        <c:ser>
          <c:idx val="0"/>
          <c:order val="0"/>
          <c:tx>
            <c:strRef>
              <c:f>'Site 1 Bull Kelp Summary'!$C$17:$F$17</c:f>
              <c:strCache>
                <c:ptCount val="4"/>
                <c:pt idx="0">
                  <c:v>Bryozoan Cover (Average % cover)</c:v>
                </c:pt>
              </c:strCache>
            </c:strRef>
          </c:tx>
          <c:spPr>
            <a:solidFill>
              <a:schemeClr val="bg1">
                <a:lumMod val="65000"/>
              </a:schemeClr>
            </a:solidFill>
            <a:ln>
              <a:solidFill>
                <a:schemeClr val="bg1">
                  <a:lumMod val="65000"/>
                </a:schemeClr>
              </a:solidFill>
            </a:ln>
            <a:effectLst/>
          </c:spPr>
          <c:invertIfNegative val="0"/>
          <c:errBars>
            <c:errBarType val="both"/>
            <c:errValType val="cust"/>
            <c:noEndCap val="0"/>
            <c:plus>
              <c:numRef>
                <c:f>'Site 1 Bull Kelp Summary'!$C$20:$H$20</c:f>
                <c:numCache>
                  <c:formatCode>General</c:formatCode>
                  <c:ptCount val="6"/>
                  <c:pt idx="0">
                    <c:v>28.830068322953604</c:v>
                  </c:pt>
                  <c:pt idx="1">
                    <c:v>15.049916943292411</c:v>
                  </c:pt>
                  <c:pt idx="2">
                    <c:v>28.013627284046372</c:v>
                  </c:pt>
                  <c:pt idx="3">
                    <c:v>12.113858267710478</c:v>
                  </c:pt>
                  <c:pt idx="4">
                    <c:v>35.712182795231094</c:v>
                  </c:pt>
                  <c:pt idx="5">
                    <c:v>28.355873387281786</c:v>
                  </c:pt>
                </c:numCache>
              </c:numRef>
            </c:plus>
            <c:minus>
              <c:numRef>
                <c:f>'Site 1 Bull Kelp Summary'!$C$20:$H$20</c:f>
                <c:numCache>
                  <c:formatCode>General</c:formatCode>
                  <c:ptCount val="6"/>
                  <c:pt idx="0">
                    <c:v>28.830068322953604</c:v>
                  </c:pt>
                  <c:pt idx="1">
                    <c:v>15.049916943292411</c:v>
                  </c:pt>
                  <c:pt idx="2">
                    <c:v>28.013627284046372</c:v>
                  </c:pt>
                  <c:pt idx="3">
                    <c:v>12.113858267710478</c:v>
                  </c:pt>
                  <c:pt idx="4">
                    <c:v>35.712182795231094</c:v>
                  </c:pt>
                  <c:pt idx="5">
                    <c:v>28.355873387281786</c:v>
                  </c:pt>
                </c:numCache>
              </c:numRef>
            </c:minus>
            <c:spPr>
              <a:noFill/>
              <a:ln w="9525" cap="flat" cmpd="sng" algn="ctr">
                <a:solidFill>
                  <a:schemeClr val="tx1">
                    <a:lumMod val="65000"/>
                    <a:lumOff val="35000"/>
                  </a:schemeClr>
                </a:solidFill>
                <a:round/>
              </a:ln>
              <a:effectLst/>
            </c:spPr>
          </c:errBars>
          <c:cat>
            <c:strRef>
              <c:f>'Site 1 Bull Kelp Summary'!$C$18:$H$18</c:f>
              <c:strCache>
                <c:ptCount val="6"/>
                <c:pt idx="0">
                  <c:v>2019 (n = 40)</c:v>
                </c:pt>
                <c:pt idx="1">
                  <c:v>2020 (n = 10)</c:v>
                </c:pt>
                <c:pt idx="2">
                  <c:v>2021 (n = 26)</c:v>
                </c:pt>
                <c:pt idx="3">
                  <c:v>2022 (n = 13)</c:v>
                </c:pt>
                <c:pt idx="4">
                  <c:v>2023 (n = 27)</c:v>
                </c:pt>
                <c:pt idx="5">
                  <c:v>2024 (n = 17)</c:v>
                </c:pt>
              </c:strCache>
            </c:strRef>
          </c:cat>
          <c:val>
            <c:numRef>
              <c:f>'Site 1 Bull Kelp Summary'!$C$19:$H$19</c:f>
              <c:numCache>
                <c:formatCode>0</c:formatCode>
                <c:ptCount val="6"/>
                <c:pt idx="0">
                  <c:v>32.222222222222221</c:v>
                </c:pt>
                <c:pt idx="1">
                  <c:v>18.5</c:v>
                </c:pt>
                <c:pt idx="2">
                  <c:v>34.42307692307692</c:v>
                </c:pt>
                <c:pt idx="3">
                  <c:v>83.84615384615384</c:v>
                </c:pt>
                <c:pt idx="4">
                  <c:v>83.84615384615384</c:v>
                </c:pt>
                <c:pt idx="5">
                  <c:v>83.84615384615384</c:v>
                </c:pt>
              </c:numCache>
            </c:numRef>
          </c:val>
          <c:extLst>
            <c:ext xmlns:c16="http://schemas.microsoft.com/office/drawing/2014/chart" uri="{C3380CC4-5D6E-409C-BE32-E72D297353CC}">
              <c16:uniqueId val="{00000000-1370-4D34-AE92-BA8D8CA1606A}"/>
            </c:ext>
          </c:extLst>
        </c:ser>
        <c:dLbls>
          <c:showLegendKey val="0"/>
          <c:showVal val="0"/>
          <c:showCatName val="0"/>
          <c:showSerName val="0"/>
          <c:showPercent val="0"/>
          <c:showBubbleSize val="0"/>
        </c:dLbls>
        <c:gapWidth val="219"/>
        <c:overlap val="-27"/>
        <c:axId val="1078640880"/>
        <c:axId val="1078614480"/>
      </c:barChart>
      <c:catAx>
        <c:axId val="1078640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1078614480"/>
        <c:crosses val="autoZero"/>
        <c:auto val="1"/>
        <c:lblAlgn val="ctr"/>
        <c:lblOffset val="100"/>
        <c:noMultiLvlLbl val="0"/>
      </c:catAx>
      <c:valAx>
        <c:axId val="1078614480"/>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600" b="0">
                    <a:solidFill>
                      <a:sysClr val="windowText" lastClr="000000"/>
                    </a:solidFill>
                  </a:rPr>
                  <a:t>Average % Bryozoan  Cover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10786408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Figure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'Site 2 Bull Kelp Summary'!$C$11:$F$11</c:f>
              <c:strCache>
                <c:ptCount val="4"/>
                <c:pt idx="0">
                  <c:v>Bull Kelp Density (per m2)</c:v>
                </c:pt>
              </c:strCache>
            </c:strRef>
          </c:tx>
          <c:spPr>
            <a:solidFill>
              <a:schemeClr val="accent2"/>
            </a:solidFill>
            <a:ln>
              <a:noFill/>
            </a:ln>
            <a:effectLst/>
          </c:spPr>
          <c:invertIfNegative val="0"/>
          <c:dPt>
            <c:idx val="2"/>
            <c:invertIfNegative val="0"/>
            <c:bubble3D val="0"/>
            <c:spPr>
              <a:solidFill>
                <a:schemeClr val="accent2"/>
              </a:solidFill>
              <a:ln>
                <a:noFill/>
              </a:ln>
              <a:effectLst/>
            </c:spPr>
            <c:extLst>
              <c:ext xmlns:c16="http://schemas.microsoft.com/office/drawing/2014/chart" uri="{C3380CC4-5D6E-409C-BE32-E72D297353CC}">
                <c16:uniqueId val="{00000001-25EB-41D3-827E-3F9D48A757FA}"/>
              </c:ext>
            </c:extLst>
          </c:dPt>
          <c:errBars>
            <c:errBarType val="both"/>
            <c:errValType val="cust"/>
            <c:noEndCap val="0"/>
            <c:plus>
              <c:numRef>
                <c:f>'Site 2 Bull Kelp Summary'!$C$14:$H$14</c:f>
                <c:numCache>
                  <c:formatCode>General</c:formatCode>
                  <c:ptCount val="6"/>
                  <c:pt idx="0">
                    <c:v>4.0674781742776265</c:v>
                  </c:pt>
                  <c:pt idx="1">
                    <c:v>7.4611419402967023</c:v>
                  </c:pt>
                  <c:pt idx="2">
                    <c:v>7.4611419402967023</c:v>
                  </c:pt>
                  <c:pt idx="3">
                    <c:v>7.4611419402967023</c:v>
                  </c:pt>
                  <c:pt idx="4">
                    <c:v>8.5561531211571342</c:v>
                  </c:pt>
                  <c:pt idx="5">
                    <c:v>7.4611419402967023</c:v>
                  </c:pt>
                </c:numCache>
              </c:numRef>
            </c:plus>
            <c:minus>
              <c:numRef>
                <c:f>'Site 2 Bull Kelp Summary'!$C$14:$H$14</c:f>
                <c:numCache>
                  <c:formatCode>General</c:formatCode>
                  <c:ptCount val="6"/>
                  <c:pt idx="0">
                    <c:v>4.0674781742776265</c:v>
                  </c:pt>
                  <c:pt idx="1">
                    <c:v>7.4611419402967023</c:v>
                  </c:pt>
                  <c:pt idx="2">
                    <c:v>7.4611419402967023</c:v>
                  </c:pt>
                  <c:pt idx="3">
                    <c:v>7.4611419402967023</c:v>
                  </c:pt>
                  <c:pt idx="4">
                    <c:v>8.5561531211571342</c:v>
                  </c:pt>
                  <c:pt idx="5">
                    <c:v>7.4611419402967023</c:v>
                  </c:pt>
                </c:numCache>
              </c:numRef>
            </c:minus>
            <c:spPr>
              <a:noFill/>
              <a:ln w="9525" cap="flat" cmpd="sng" algn="ctr">
                <a:solidFill>
                  <a:schemeClr val="tx1">
                    <a:lumMod val="65000"/>
                    <a:lumOff val="35000"/>
                  </a:schemeClr>
                </a:solidFill>
                <a:round/>
              </a:ln>
              <a:effectLst/>
            </c:spPr>
          </c:errBars>
          <c:cat>
            <c:strRef>
              <c:f>'Site 2 Bull Kelp Summary'!$C$12:$H$12</c:f>
              <c:strCache>
                <c:ptCount val="6"/>
                <c:pt idx="0">
                  <c:v>2019 (n = 26)</c:v>
                </c:pt>
                <c:pt idx="1">
                  <c:v>2020 (n = 13)</c:v>
                </c:pt>
                <c:pt idx="2">
                  <c:v>2021 (n = 13)</c:v>
                </c:pt>
                <c:pt idx="3">
                  <c:v>2022 (n = 13)</c:v>
                </c:pt>
                <c:pt idx="4">
                  <c:v>2023 (n = 20)</c:v>
                </c:pt>
                <c:pt idx="5">
                  <c:v>2024 (n = 13)</c:v>
                </c:pt>
              </c:strCache>
            </c:strRef>
          </c:cat>
          <c:val>
            <c:numRef>
              <c:f>'Site 2 Bull Kelp Summary'!$C$13:$H$13</c:f>
              <c:numCache>
                <c:formatCode>0</c:formatCode>
                <c:ptCount val="6"/>
                <c:pt idx="0">
                  <c:v>9.615384615384615</c:v>
                </c:pt>
                <c:pt idx="1">
                  <c:v>17.846153846153847</c:v>
                </c:pt>
                <c:pt idx="2">
                  <c:v>17.846153846153847</c:v>
                </c:pt>
                <c:pt idx="3">
                  <c:v>17.846153846153847</c:v>
                </c:pt>
                <c:pt idx="4">
                  <c:v>13.947368421052632</c:v>
                </c:pt>
                <c:pt idx="5">
                  <c:v>17.846153846153847</c:v>
                </c:pt>
              </c:numCache>
            </c:numRef>
          </c:val>
          <c:extLst>
            <c:ext xmlns:c16="http://schemas.microsoft.com/office/drawing/2014/chart" uri="{C3380CC4-5D6E-409C-BE32-E72D297353CC}">
              <c16:uniqueId val="{00000002-25EB-41D3-827E-3F9D48A757FA}"/>
            </c:ext>
          </c:extLst>
        </c:ser>
        <c:dLbls>
          <c:showLegendKey val="0"/>
          <c:showVal val="0"/>
          <c:showCatName val="0"/>
          <c:showSerName val="0"/>
          <c:showPercent val="0"/>
          <c:showBubbleSize val="0"/>
        </c:dLbls>
        <c:gapWidth val="287"/>
        <c:axId val="580046800"/>
        <c:axId val="580029040"/>
      </c:barChart>
      <c:lineChart>
        <c:grouping val="standard"/>
        <c:varyColors val="0"/>
        <c:ser>
          <c:idx val="0"/>
          <c:order val="1"/>
          <c:tx>
            <c:strRef>
              <c:f>'Site 2 Bull Kelp Summary'!$C$5:$F$5</c:f>
              <c:strCache>
                <c:ptCount val="4"/>
                <c:pt idx="0">
                  <c:v>Bull Kelp Bed Extent (m2)</c:v>
                </c:pt>
              </c:strCache>
            </c:strRef>
          </c:tx>
          <c:spPr>
            <a:ln w="28575" cap="rnd">
              <a:solidFill>
                <a:srgbClr val="3399FF"/>
              </a:solidFill>
              <a:round/>
            </a:ln>
            <a:effectLst/>
          </c:spPr>
          <c:marker>
            <c:symbol val="none"/>
          </c:marker>
          <c:errBars>
            <c:errDir val="y"/>
            <c:errBarType val="both"/>
            <c:errValType val="cust"/>
            <c:noEndCap val="0"/>
            <c:plus>
              <c:numRef>
                <c:f>'Site 2 Bull Kelp Summary'!$C$8:$F$8</c:f>
                <c:numCache>
                  <c:formatCode>General</c:formatCode>
                  <c:ptCount val="4"/>
                </c:numCache>
              </c:numRef>
            </c:plus>
            <c:minus>
              <c:numRef>
                <c:f>'Site 2 Bull Kelp Summary'!$C$8:$F$8</c:f>
                <c:numCache>
                  <c:formatCode>General</c:formatCode>
                  <c:ptCount val="4"/>
                </c:numCache>
              </c:numRef>
            </c:minus>
            <c:spPr>
              <a:noFill/>
              <a:ln w="12700" cap="flat" cmpd="sng" algn="ctr">
                <a:solidFill>
                  <a:schemeClr val="tx1"/>
                </a:solidFill>
                <a:round/>
              </a:ln>
              <a:effectLst/>
            </c:spPr>
          </c:errBars>
          <c:cat>
            <c:strRef>
              <c:f>'Site 2 Bull Kelp Summary'!$C$12:$H$12</c:f>
              <c:strCache>
                <c:ptCount val="6"/>
                <c:pt idx="0">
                  <c:v>2019 (n = 26)</c:v>
                </c:pt>
                <c:pt idx="1">
                  <c:v>2020 (n = 13)</c:v>
                </c:pt>
                <c:pt idx="2">
                  <c:v>2021 (n = 13)</c:v>
                </c:pt>
                <c:pt idx="3">
                  <c:v>2022 (n = 13)</c:v>
                </c:pt>
                <c:pt idx="4">
                  <c:v>2023 (n = 20)</c:v>
                </c:pt>
                <c:pt idx="5">
                  <c:v>2024 (n = 13)</c:v>
                </c:pt>
              </c:strCache>
            </c:strRef>
          </c:cat>
          <c:val>
            <c:numRef>
              <c:f>'Site 2 Bull Kelp Summary'!$C$7:$H$7</c:f>
              <c:numCache>
                <c:formatCode>0</c:formatCode>
                <c:ptCount val="6"/>
                <c:pt idx="0">
                  <c:v>700</c:v>
                </c:pt>
                <c:pt idx="1">
                  <c:v>900</c:v>
                </c:pt>
                <c:pt idx="2">
                  <c:v>900</c:v>
                </c:pt>
                <c:pt idx="3">
                  <c:v>900</c:v>
                </c:pt>
                <c:pt idx="4">
                  <c:v>750</c:v>
                </c:pt>
                <c:pt idx="5">
                  <c:v>900</c:v>
                </c:pt>
              </c:numCache>
            </c:numRef>
          </c:val>
          <c:smooth val="0"/>
          <c:extLst>
            <c:ext xmlns:c16="http://schemas.microsoft.com/office/drawing/2014/chart" uri="{C3380CC4-5D6E-409C-BE32-E72D297353CC}">
              <c16:uniqueId val="{00000003-25EB-41D3-827E-3F9D48A757FA}"/>
            </c:ext>
          </c:extLst>
        </c:ser>
        <c:dLbls>
          <c:showLegendKey val="0"/>
          <c:showVal val="0"/>
          <c:showCatName val="0"/>
          <c:showSerName val="0"/>
          <c:showPercent val="0"/>
          <c:showBubbleSize val="0"/>
        </c:dLbls>
        <c:marker val="1"/>
        <c:smooth val="0"/>
        <c:axId val="339568208"/>
        <c:axId val="469117544"/>
      </c:lineChart>
      <c:catAx>
        <c:axId val="580046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1200" b="0" i="0" u="none" strike="noStrike" kern="1200" baseline="0">
                <a:solidFill>
                  <a:schemeClr val="tx1"/>
                </a:solidFill>
                <a:latin typeface="+mn-lt"/>
                <a:ea typeface="+mn-ea"/>
                <a:cs typeface="+mn-cs"/>
              </a:defRPr>
            </a:pPr>
            <a:endParaRPr lang="en-US"/>
          </a:p>
        </c:txPr>
        <c:crossAx val="580029040"/>
        <c:crosses val="autoZero"/>
        <c:auto val="1"/>
        <c:lblAlgn val="ctr"/>
        <c:lblOffset val="100"/>
        <c:noMultiLvlLbl val="0"/>
      </c:catAx>
      <c:valAx>
        <c:axId val="580029040"/>
        <c:scaling>
          <c:orientation val="minMax"/>
        </c:scaling>
        <c:delete val="0"/>
        <c:axPos val="l"/>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CA" sz="1600">
                    <a:solidFill>
                      <a:sysClr val="windowText" lastClr="000000"/>
                    </a:solidFill>
                  </a:rPr>
                  <a:t>Kelp Density (per m</a:t>
                </a:r>
                <a:r>
                  <a:rPr lang="en-CA" sz="1600" baseline="30000">
                    <a:solidFill>
                      <a:sysClr val="windowText" lastClr="000000"/>
                    </a:solidFill>
                  </a:rPr>
                  <a:t>2</a:t>
                </a:r>
                <a:r>
                  <a:rPr lang="en-CA" sz="1600">
                    <a:solidFill>
                      <a:sysClr val="windowText" lastClr="000000"/>
                    </a:solidFill>
                  </a:rPr>
                  <a:t>)</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n-US"/>
          </a:p>
        </c:txPr>
        <c:crossAx val="580046800"/>
        <c:crosses val="autoZero"/>
        <c:crossBetween val="between"/>
      </c:valAx>
      <c:valAx>
        <c:axId val="469117544"/>
        <c:scaling>
          <c:orientation val="minMax"/>
        </c:scaling>
        <c:delete val="0"/>
        <c:axPos val="r"/>
        <c:title>
          <c:tx>
            <c:rich>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r>
                  <a:rPr lang="en-CA" sz="1600">
                    <a:solidFill>
                      <a:sysClr val="windowText" lastClr="000000"/>
                    </a:solidFill>
                  </a:rPr>
                  <a:t>Kelp Bed</a:t>
                </a:r>
                <a:r>
                  <a:rPr lang="en-CA" sz="1600" baseline="0">
                    <a:solidFill>
                      <a:sysClr val="windowText" lastClr="000000"/>
                    </a:solidFill>
                  </a:rPr>
                  <a:t> Extent (Area m</a:t>
                </a:r>
                <a:r>
                  <a:rPr lang="en-CA" sz="1600" baseline="30000">
                    <a:solidFill>
                      <a:sysClr val="windowText" lastClr="000000"/>
                    </a:solidFill>
                  </a:rPr>
                  <a:t>2</a:t>
                </a:r>
                <a:r>
                  <a:rPr lang="en-CA" sz="1600" baseline="0">
                    <a:solidFill>
                      <a:sysClr val="windowText" lastClr="000000"/>
                    </a:solidFill>
                  </a:rPr>
                  <a:t>)</a:t>
                </a:r>
                <a:endParaRPr lang="en-CA" sz="1600">
                  <a:solidFill>
                    <a:sysClr val="windowText" lastClr="000000"/>
                  </a:solidFill>
                </a:endParaRPr>
              </a:p>
            </c:rich>
          </c:tx>
          <c:overlay val="0"/>
          <c:spPr>
            <a:noFill/>
            <a:ln>
              <a:noFill/>
            </a:ln>
            <a:effectLst/>
          </c:spPr>
          <c:txPr>
            <a:bodyPr rot="-54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title>
        <c:numFmt formatCode="0" sourceLinked="1"/>
        <c:majorTickMark val="in"/>
        <c:minorTickMark val="none"/>
        <c:tickLblPos val="nextTo"/>
        <c:spPr>
          <a:noFill/>
          <a:ln>
            <a:solidFill>
              <a:schemeClr val="accent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339568208"/>
        <c:crosses val="max"/>
        <c:crossBetween val="between"/>
      </c:valAx>
      <c:catAx>
        <c:axId val="339568208"/>
        <c:scaling>
          <c:orientation val="minMax"/>
        </c:scaling>
        <c:delete val="1"/>
        <c:axPos val="b"/>
        <c:numFmt formatCode="General" sourceLinked="1"/>
        <c:majorTickMark val="out"/>
        <c:minorTickMark val="none"/>
        <c:tickLblPos val="nextTo"/>
        <c:crossAx val="4691175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solidFill>
                  <a:sysClr val="windowText" lastClr="000000"/>
                </a:solidFill>
              </a:rPr>
              <a:t>Figure 2</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barChart>
        <c:barDir val="col"/>
        <c:grouping val="clustered"/>
        <c:varyColors val="0"/>
        <c:ser>
          <c:idx val="0"/>
          <c:order val="0"/>
          <c:tx>
            <c:strRef>
              <c:f>'Site 2 Bull Kelp Summary'!$C$17:$F$17</c:f>
              <c:strCache>
                <c:ptCount val="4"/>
                <c:pt idx="0">
                  <c:v>Bryozoan Cover (Average % cover)</c:v>
                </c:pt>
              </c:strCache>
            </c:strRef>
          </c:tx>
          <c:spPr>
            <a:solidFill>
              <a:schemeClr val="bg1">
                <a:lumMod val="65000"/>
              </a:schemeClr>
            </a:solidFill>
            <a:ln>
              <a:solidFill>
                <a:schemeClr val="bg1">
                  <a:lumMod val="65000"/>
                </a:schemeClr>
              </a:solidFill>
            </a:ln>
            <a:effectLst/>
          </c:spPr>
          <c:invertIfNegative val="0"/>
          <c:errBars>
            <c:errBarType val="both"/>
            <c:errValType val="cust"/>
            <c:noEndCap val="0"/>
            <c:plus>
              <c:numRef>
                <c:f>'Site 2 Bull Kelp Summary'!$C$20:$H$20</c:f>
                <c:numCache>
                  <c:formatCode>General</c:formatCode>
                  <c:ptCount val="6"/>
                  <c:pt idx="0">
                    <c:v>28.013627284046372</c:v>
                  </c:pt>
                  <c:pt idx="1">
                    <c:v>12.113858267710478</c:v>
                  </c:pt>
                  <c:pt idx="2">
                    <c:v>12.113858267710478</c:v>
                  </c:pt>
                  <c:pt idx="3">
                    <c:v>12.113858267710478</c:v>
                  </c:pt>
                  <c:pt idx="4">
                    <c:v>33.279850907933671</c:v>
                  </c:pt>
                  <c:pt idx="5">
                    <c:v>12.113858267710478</c:v>
                  </c:pt>
                </c:numCache>
              </c:numRef>
            </c:plus>
            <c:minus>
              <c:numRef>
                <c:f>'Site 2 Bull Kelp Summary'!$C$20:$H$20</c:f>
                <c:numCache>
                  <c:formatCode>General</c:formatCode>
                  <c:ptCount val="6"/>
                  <c:pt idx="0">
                    <c:v>28.013627284046372</c:v>
                  </c:pt>
                  <c:pt idx="1">
                    <c:v>12.113858267710478</c:v>
                  </c:pt>
                  <c:pt idx="2">
                    <c:v>12.113858267710478</c:v>
                  </c:pt>
                  <c:pt idx="3">
                    <c:v>12.113858267710478</c:v>
                  </c:pt>
                  <c:pt idx="4">
                    <c:v>33.279850907933671</c:v>
                  </c:pt>
                  <c:pt idx="5">
                    <c:v>12.113858267710478</c:v>
                  </c:pt>
                </c:numCache>
              </c:numRef>
            </c:minus>
            <c:spPr>
              <a:noFill/>
              <a:ln w="9525" cap="flat" cmpd="sng" algn="ctr">
                <a:solidFill>
                  <a:schemeClr val="tx1">
                    <a:lumMod val="65000"/>
                    <a:lumOff val="35000"/>
                  </a:schemeClr>
                </a:solidFill>
                <a:round/>
              </a:ln>
              <a:effectLst/>
            </c:spPr>
          </c:errBars>
          <c:cat>
            <c:strRef>
              <c:f>'Site 2 Bull Kelp Summary'!$C$18:$H$18</c:f>
              <c:strCache>
                <c:ptCount val="6"/>
                <c:pt idx="0">
                  <c:v>2019 (n = 26)</c:v>
                </c:pt>
                <c:pt idx="1">
                  <c:v>2020 (n = 13)</c:v>
                </c:pt>
                <c:pt idx="2">
                  <c:v>2021 (n = 13)</c:v>
                </c:pt>
                <c:pt idx="3">
                  <c:v>2022 (n = 13)</c:v>
                </c:pt>
                <c:pt idx="4">
                  <c:v>2023 (n = 20)</c:v>
                </c:pt>
                <c:pt idx="5">
                  <c:v>2024 (n = 13)</c:v>
                </c:pt>
              </c:strCache>
            </c:strRef>
          </c:cat>
          <c:val>
            <c:numRef>
              <c:f>'Site 2 Bull Kelp Summary'!$C$19:$H$19</c:f>
              <c:numCache>
                <c:formatCode>0</c:formatCode>
                <c:ptCount val="6"/>
                <c:pt idx="0">
                  <c:v>34.42307692307692</c:v>
                </c:pt>
                <c:pt idx="1">
                  <c:v>83.84615384615384</c:v>
                </c:pt>
                <c:pt idx="2">
                  <c:v>83.84615384615384</c:v>
                </c:pt>
                <c:pt idx="3">
                  <c:v>83.84615384615384</c:v>
                </c:pt>
                <c:pt idx="4">
                  <c:v>83.84615384615384</c:v>
                </c:pt>
                <c:pt idx="5">
                  <c:v>83.84615384615384</c:v>
                </c:pt>
              </c:numCache>
            </c:numRef>
          </c:val>
          <c:extLst>
            <c:ext xmlns:c16="http://schemas.microsoft.com/office/drawing/2014/chart" uri="{C3380CC4-5D6E-409C-BE32-E72D297353CC}">
              <c16:uniqueId val="{00000000-D818-496B-92E2-84E4BEB51685}"/>
            </c:ext>
          </c:extLst>
        </c:ser>
        <c:dLbls>
          <c:showLegendKey val="0"/>
          <c:showVal val="0"/>
          <c:showCatName val="0"/>
          <c:showSerName val="0"/>
          <c:showPercent val="0"/>
          <c:showBubbleSize val="0"/>
        </c:dLbls>
        <c:gapWidth val="219"/>
        <c:overlap val="-27"/>
        <c:axId val="1078640880"/>
        <c:axId val="1078614480"/>
      </c:barChart>
      <c:catAx>
        <c:axId val="1078640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1078614480"/>
        <c:crosses val="autoZero"/>
        <c:auto val="1"/>
        <c:lblAlgn val="ctr"/>
        <c:lblOffset val="100"/>
        <c:noMultiLvlLbl val="0"/>
      </c:catAx>
      <c:valAx>
        <c:axId val="1078614480"/>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600" b="0">
                    <a:solidFill>
                      <a:sysClr val="windowText" lastClr="000000"/>
                    </a:solidFill>
                  </a:rPr>
                  <a:t>Average % Bryozoan  Cover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out"/>
        <c:minorTickMark val="none"/>
        <c:tickLblPos val="nextTo"/>
        <c:spPr>
          <a:noFill/>
          <a:ln>
            <a:solidFill>
              <a:schemeClr val="accent1"/>
            </a:solidFill>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mn-lt"/>
                <a:ea typeface="+mn-ea"/>
                <a:cs typeface="+mn-cs"/>
              </a:defRPr>
            </a:pPr>
            <a:endParaRPr lang="en-US"/>
          </a:p>
        </c:txPr>
        <c:crossAx val="10786408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7.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200025</xdr:colOff>
      <xdr:row>36</xdr:row>
      <xdr:rowOff>47625</xdr:rowOff>
    </xdr:to>
    <xdr:pic>
      <xdr:nvPicPr>
        <xdr:cNvPr id="2" name="Picture 1">
          <a:extLst>
            <a:ext uri="{FF2B5EF4-FFF2-40B4-BE49-F238E27FC236}">
              <a16:creationId xmlns:a16="http://schemas.microsoft.com/office/drawing/2014/main" id="{900638B9-C78B-C3F6-24C2-314DFBEDD5C8}"/>
            </a:ext>
          </a:extLst>
        </xdr:cNvPr>
        <xdr:cNvPicPr>
          <a:picLocks noChangeAspect="1"/>
        </xdr:cNvPicPr>
      </xdr:nvPicPr>
      <xdr:blipFill>
        <a:blip xmlns:r="http://schemas.openxmlformats.org/officeDocument/2006/relationships" r:embed="rId1"/>
        <a:stretch>
          <a:fillRect/>
        </a:stretch>
      </xdr:blipFill>
      <xdr:spPr>
        <a:xfrm>
          <a:off x="609600" y="2838450"/>
          <a:ext cx="3248025" cy="4572000"/>
        </a:xfrm>
        <a:prstGeom prst="rect">
          <a:avLst/>
        </a:prstGeom>
      </xdr:spPr>
    </xdr:pic>
    <xdr:clientData/>
  </xdr:twoCellAnchor>
  <xdr:twoCellAnchor>
    <xdr:from>
      <xdr:col>4</xdr:col>
      <xdr:colOff>361950</xdr:colOff>
      <xdr:row>30</xdr:row>
      <xdr:rowOff>28575</xdr:rowOff>
    </xdr:from>
    <xdr:to>
      <xdr:col>6</xdr:col>
      <xdr:colOff>76200</xdr:colOff>
      <xdr:row>32</xdr:row>
      <xdr:rowOff>171450</xdr:rowOff>
    </xdr:to>
    <xdr:sp macro="" textlink="">
      <xdr:nvSpPr>
        <xdr:cNvPr id="3" name="Oval 2">
          <a:extLst>
            <a:ext uri="{FF2B5EF4-FFF2-40B4-BE49-F238E27FC236}">
              <a16:creationId xmlns:a16="http://schemas.microsoft.com/office/drawing/2014/main" id="{A5924878-AD40-E33C-252A-7FFE2420FAA4}"/>
            </a:ext>
            <a:ext uri="{147F2762-F138-4A5C-976F-8EAC2B608ADB}">
              <a16:predDERef xmlns:a16="http://schemas.microsoft.com/office/drawing/2014/main" pred="{900638B9-C78B-C3F6-24C2-314DFBEDD5C8}"/>
            </a:ext>
          </a:extLst>
        </xdr:cNvPr>
        <xdr:cNvSpPr/>
      </xdr:nvSpPr>
      <xdr:spPr>
        <a:xfrm>
          <a:off x="2800350" y="6305550"/>
          <a:ext cx="933450" cy="504825"/>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0</xdr:colOff>
      <xdr:row>28</xdr:row>
      <xdr:rowOff>1</xdr:rowOff>
    </xdr:from>
    <xdr:to>
      <xdr:col>18</xdr:col>
      <xdr:colOff>23812</xdr:colOff>
      <xdr:row>45</xdr:row>
      <xdr:rowOff>47625</xdr:rowOff>
    </xdr:to>
    <xdr:sp macro="" textlink="">
      <xdr:nvSpPr>
        <xdr:cNvPr id="3" name="TextBox 2">
          <a:extLst>
            <a:ext uri="{FF2B5EF4-FFF2-40B4-BE49-F238E27FC236}">
              <a16:creationId xmlns:a16="http://schemas.microsoft.com/office/drawing/2014/main" id="{9B717BAB-6380-4000-9E78-0265091E0AB4}"/>
            </a:ext>
          </a:extLst>
        </xdr:cNvPr>
        <xdr:cNvSpPr txBox="1"/>
      </xdr:nvSpPr>
      <xdr:spPr>
        <a:xfrm>
          <a:off x="10798969" y="5381626"/>
          <a:ext cx="4274343" cy="3381374"/>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twoCellAnchor>
    <xdr:from>
      <xdr:col>11</xdr:col>
      <xdr:colOff>0</xdr:colOff>
      <xdr:row>2</xdr:row>
      <xdr:rowOff>0</xdr:rowOff>
    </xdr:from>
    <xdr:to>
      <xdr:col>25</xdr:col>
      <xdr:colOff>211552</xdr:colOff>
      <xdr:row>23</xdr:row>
      <xdr:rowOff>141674</xdr:rowOff>
    </xdr:to>
    <xdr:graphicFrame macro="">
      <xdr:nvGraphicFramePr>
        <xdr:cNvPr id="4" name="Chart 3">
          <a:extLst>
            <a:ext uri="{FF2B5EF4-FFF2-40B4-BE49-F238E27FC236}">
              <a16:creationId xmlns:a16="http://schemas.microsoft.com/office/drawing/2014/main" id="{3D2826A2-1793-4707-A603-89B8627C3EC7}"/>
            </a:ext>
            <a:ext uri="{147F2762-F138-4A5C-976F-8EAC2B608ADB}">
              <a16:predDERef xmlns:a16="http://schemas.microsoft.com/office/drawing/2014/main" pred="{9B717BAB-6380-4000-9E78-0265091E0A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2</xdr:row>
      <xdr:rowOff>9525</xdr:rowOff>
    </xdr:from>
    <xdr:to>
      <xdr:col>25</xdr:col>
      <xdr:colOff>211552</xdr:colOff>
      <xdr:row>23</xdr:row>
      <xdr:rowOff>151199</xdr:rowOff>
    </xdr:to>
    <xdr:graphicFrame macro="">
      <xdr:nvGraphicFramePr>
        <xdr:cNvPr id="4" name="Chart 3">
          <a:extLst>
            <a:ext uri="{FF2B5EF4-FFF2-40B4-BE49-F238E27FC236}">
              <a16:creationId xmlns:a16="http://schemas.microsoft.com/office/drawing/2014/main" id="{5B7326C4-11B6-47F7-9A67-2166E9ED1527}"/>
            </a:ext>
            <a:ext uri="{147F2762-F138-4A5C-976F-8EAC2B608ADB}">
              <a16:predDERef xmlns:a16="http://schemas.microsoft.com/office/drawing/2014/main" pred="{87A3B1E1-8169-4A7F-BF6D-B8E1CEE1EE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28</xdr:row>
      <xdr:rowOff>0</xdr:rowOff>
    </xdr:from>
    <xdr:to>
      <xdr:col>18</xdr:col>
      <xdr:colOff>23812</xdr:colOff>
      <xdr:row>45</xdr:row>
      <xdr:rowOff>47624</xdr:rowOff>
    </xdr:to>
    <xdr:sp macro="" textlink="">
      <xdr:nvSpPr>
        <xdr:cNvPr id="2" name="TextBox 1">
          <a:extLst>
            <a:ext uri="{FF2B5EF4-FFF2-40B4-BE49-F238E27FC236}">
              <a16:creationId xmlns:a16="http://schemas.microsoft.com/office/drawing/2014/main" id="{ACABCE70-8A3D-4920-98BA-9F4FB7858010}"/>
            </a:ext>
          </a:extLst>
        </xdr:cNvPr>
        <xdr:cNvSpPr txBox="1"/>
      </xdr:nvSpPr>
      <xdr:spPr>
        <a:xfrm>
          <a:off x="10858500" y="5381625"/>
          <a:ext cx="4274343" cy="3381374"/>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0</xdr:colOff>
      <xdr:row>2</xdr:row>
      <xdr:rowOff>0</xdr:rowOff>
    </xdr:from>
    <xdr:to>
      <xdr:col>25</xdr:col>
      <xdr:colOff>274304</xdr:colOff>
      <xdr:row>23</xdr:row>
      <xdr:rowOff>136631</xdr:rowOff>
    </xdr:to>
    <xdr:graphicFrame macro="">
      <xdr:nvGraphicFramePr>
        <xdr:cNvPr id="4" name="Chart 3">
          <a:extLst>
            <a:ext uri="{FF2B5EF4-FFF2-40B4-BE49-F238E27FC236}">
              <a16:creationId xmlns:a16="http://schemas.microsoft.com/office/drawing/2014/main" id="{4AD9CFD7-7EA0-4A52-9875-A328CC593E36}"/>
            </a:ext>
            <a:ext uri="{147F2762-F138-4A5C-976F-8EAC2B608ADB}">
              <a16:predDERef xmlns:a16="http://schemas.microsoft.com/office/drawing/2014/main" pred="{CFE5765D-CC7E-40F6-9070-1C3542DB63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28</xdr:row>
      <xdr:rowOff>0</xdr:rowOff>
    </xdr:from>
    <xdr:to>
      <xdr:col>18</xdr:col>
      <xdr:colOff>38519</xdr:colOff>
      <xdr:row>45</xdr:row>
      <xdr:rowOff>30816</xdr:rowOff>
    </xdr:to>
    <xdr:sp macro="" textlink="">
      <xdr:nvSpPr>
        <xdr:cNvPr id="2" name="TextBox 1">
          <a:extLst>
            <a:ext uri="{FF2B5EF4-FFF2-40B4-BE49-F238E27FC236}">
              <a16:creationId xmlns:a16="http://schemas.microsoft.com/office/drawing/2014/main" id="{95394740-5766-45DE-8FEA-0ABF22883827}"/>
            </a:ext>
          </a:extLst>
        </xdr:cNvPr>
        <xdr:cNvSpPr txBox="1"/>
      </xdr:nvSpPr>
      <xdr:spPr>
        <a:xfrm>
          <a:off x="10623176" y="5378824"/>
          <a:ext cx="4274343" cy="3381374"/>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11</xdr:col>
      <xdr:colOff>0</xdr:colOff>
      <xdr:row>2</xdr:row>
      <xdr:rowOff>0</xdr:rowOff>
    </xdr:from>
    <xdr:to>
      <xdr:col>25</xdr:col>
      <xdr:colOff>274304</xdr:colOff>
      <xdr:row>23</xdr:row>
      <xdr:rowOff>136631</xdr:rowOff>
    </xdr:to>
    <xdr:graphicFrame macro="">
      <xdr:nvGraphicFramePr>
        <xdr:cNvPr id="2" name="Chart 1">
          <a:extLst>
            <a:ext uri="{FF2B5EF4-FFF2-40B4-BE49-F238E27FC236}">
              <a16:creationId xmlns:a16="http://schemas.microsoft.com/office/drawing/2014/main" id="{B2F6FF3E-404C-479E-9A16-2A69F5A2D674}"/>
            </a:ext>
            <a:ext uri="{147F2762-F138-4A5C-976F-8EAC2B608ADB}">
              <a16:predDERef xmlns:a16="http://schemas.microsoft.com/office/drawing/2014/main" pred="{CFE5765D-CC7E-40F6-9070-1C3542DB63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28</xdr:row>
      <xdr:rowOff>0</xdr:rowOff>
    </xdr:from>
    <xdr:to>
      <xdr:col>18</xdr:col>
      <xdr:colOff>38519</xdr:colOff>
      <xdr:row>45</xdr:row>
      <xdr:rowOff>30816</xdr:rowOff>
    </xdr:to>
    <xdr:sp macro="" textlink="">
      <xdr:nvSpPr>
        <xdr:cNvPr id="3" name="TextBox 2">
          <a:extLst>
            <a:ext uri="{FF2B5EF4-FFF2-40B4-BE49-F238E27FC236}">
              <a16:creationId xmlns:a16="http://schemas.microsoft.com/office/drawing/2014/main" id="{2D9ECA6F-A8BA-4BFE-9D78-3EBFB8797866}"/>
            </a:ext>
          </a:extLst>
        </xdr:cNvPr>
        <xdr:cNvSpPr txBox="1"/>
      </xdr:nvSpPr>
      <xdr:spPr>
        <a:xfrm>
          <a:off x="10629900" y="5372100"/>
          <a:ext cx="4305719" cy="336456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11</xdr:col>
      <xdr:colOff>0</xdr:colOff>
      <xdr:row>2</xdr:row>
      <xdr:rowOff>0</xdr:rowOff>
    </xdr:from>
    <xdr:to>
      <xdr:col>25</xdr:col>
      <xdr:colOff>274304</xdr:colOff>
      <xdr:row>23</xdr:row>
      <xdr:rowOff>136631</xdr:rowOff>
    </xdr:to>
    <xdr:graphicFrame macro="">
      <xdr:nvGraphicFramePr>
        <xdr:cNvPr id="2" name="Chart 1">
          <a:extLst>
            <a:ext uri="{FF2B5EF4-FFF2-40B4-BE49-F238E27FC236}">
              <a16:creationId xmlns:a16="http://schemas.microsoft.com/office/drawing/2014/main" id="{501FD688-8BCA-4A35-AF3C-5EE0074FF931}"/>
            </a:ext>
            <a:ext uri="{147F2762-F138-4A5C-976F-8EAC2B608ADB}">
              <a16:predDERef xmlns:a16="http://schemas.microsoft.com/office/drawing/2014/main" pred="{CFE5765D-CC7E-40F6-9070-1C3542DB63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28</xdr:row>
      <xdr:rowOff>0</xdr:rowOff>
    </xdr:from>
    <xdr:to>
      <xdr:col>18</xdr:col>
      <xdr:colOff>38519</xdr:colOff>
      <xdr:row>45</xdr:row>
      <xdr:rowOff>30816</xdr:rowOff>
    </xdr:to>
    <xdr:sp macro="" textlink="">
      <xdr:nvSpPr>
        <xdr:cNvPr id="3" name="TextBox 2">
          <a:extLst>
            <a:ext uri="{FF2B5EF4-FFF2-40B4-BE49-F238E27FC236}">
              <a16:creationId xmlns:a16="http://schemas.microsoft.com/office/drawing/2014/main" id="{BC4D7FBE-661E-4854-805E-6A1B3E3DF296}"/>
            </a:ext>
          </a:extLst>
        </xdr:cNvPr>
        <xdr:cNvSpPr txBox="1"/>
      </xdr:nvSpPr>
      <xdr:spPr>
        <a:xfrm>
          <a:off x="10629900" y="5372100"/>
          <a:ext cx="4305719" cy="336456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11</xdr:col>
      <xdr:colOff>0</xdr:colOff>
      <xdr:row>2</xdr:row>
      <xdr:rowOff>0</xdr:rowOff>
    </xdr:from>
    <xdr:to>
      <xdr:col>25</xdr:col>
      <xdr:colOff>274304</xdr:colOff>
      <xdr:row>23</xdr:row>
      <xdr:rowOff>136631</xdr:rowOff>
    </xdr:to>
    <xdr:graphicFrame macro="">
      <xdr:nvGraphicFramePr>
        <xdr:cNvPr id="2" name="Chart 1">
          <a:extLst>
            <a:ext uri="{FF2B5EF4-FFF2-40B4-BE49-F238E27FC236}">
              <a16:creationId xmlns:a16="http://schemas.microsoft.com/office/drawing/2014/main" id="{DB12C096-75E1-405F-BDCF-F48ACE2A75ED}"/>
            </a:ext>
            <a:ext uri="{147F2762-F138-4A5C-976F-8EAC2B608ADB}">
              <a16:predDERef xmlns:a16="http://schemas.microsoft.com/office/drawing/2014/main" pred="{CFE5765D-CC7E-40F6-9070-1C3542DB63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28</xdr:row>
      <xdr:rowOff>0</xdr:rowOff>
    </xdr:from>
    <xdr:to>
      <xdr:col>18</xdr:col>
      <xdr:colOff>38519</xdr:colOff>
      <xdr:row>45</xdr:row>
      <xdr:rowOff>30816</xdr:rowOff>
    </xdr:to>
    <xdr:sp macro="" textlink="">
      <xdr:nvSpPr>
        <xdr:cNvPr id="3" name="TextBox 2">
          <a:extLst>
            <a:ext uri="{FF2B5EF4-FFF2-40B4-BE49-F238E27FC236}">
              <a16:creationId xmlns:a16="http://schemas.microsoft.com/office/drawing/2014/main" id="{B1E4C818-1463-4A21-938E-93FC4314EFF8}"/>
            </a:ext>
          </a:extLst>
        </xdr:cNvPr>
        <xdr:cNvSpPr txBox="1"/>
      </xdr:nvSpPr>
      <xdr:spPr>
        <a:xfrm>
          <a:off x="10629900" y="5372100"/>
          <a:ext cx="4305719" cy="336456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11</xdr:col>
      <xdr:colOff>0</xdr:colOff>
      <xdr:row>2</xdr:row>
      <xdr:rowOff>0</xdr:rowOff>
    </xdr:from>
    <xdr:to>
      <xdr:col>25</xdr:col>
      <xdr:colOff>274304</xdr:colOff>
      <xdr:row>23</xdr:row>
      <xdr:rowOff>136631</xdr:rowOff>
    </xdr:to>
    <xdr:graphicFrame macro="">
      <xdr:nvGraphicFramePr>
        <xdr:cNvPr id="2" name="Chart 1">
          <a:extLst>
            <a:ext uri="{FF2B5EF4-FFF2-40B4-BE49-F238E27FC236}">
              <a16:creationId xmlns:a16="http://schemas.microsoft.com/office/drawing/2014/main" id="{CF38508A-CB9C-4FC9-BD3C-95F599DFC5BD}"/>
            </a:ext>
            <a:ext uri="{147F2762-F138-4A5C-976F-8EAC2B608ADB}">
              <a16:predDERef xmlns:a16="http://schemas.microsoft.com/office/drawing/2014/main" pred="{CFE5765D-CC7E-40F6-9070-1C3542DB63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28</xdr:row>
      <xdr:rowOff>0</xdr:rowOff>
    </xdr:from>
    <xdr:to>
      <xdr:col>18</xdr:col>
      <xdr:colOff>38519</xdr:colOff>
      <xdr:row>45</xdr:row>
      <xdr:rowOff>30816</xdr:rowOff>
    </xdr:to>
    <xdr:sp macro="" textlink="">
      <xdr:nvSpPr>
        <xdr:cNvPr id="3" name="TextBox 2">
          <a:extLst>
            <a:ext uri="{FF2B5EF4-FFF2-40B4-BE49-F238E27FC236}">
              <a16:creationId xmlns:a16="http://schemas.microsoft.com/office/drawing/2014/main" id="{AF2E0F86-216E-4D26-9DAC-3D8BA6288454}"/>
            </a:ext>
          </a:extLst>
        </xdr:cNvPr>
        <xdr:cNvSpPr txBox="1"/>
      </xdr:nvSpPr>
      <xdr:spPr>
        <a:xfrm>
          <a:off x="10629900" y="5372100"/>
          <a:ext cx="4305719" cy="336456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11</xdr:col>
      <xdr:colOff>0</xdr:colOff>
      <xdr:row>2</xdr:row>
      <xdr:rowOff>0</xdr:rowOff>
    </xdr:from>
    <xdr:to>
      <xdr:col>25</xdr:col>
      <xdr:colOff>274304</xdr:colOff>
      <xdr:row>23</xdr:row>
      <xdr:rowOff>136631</xdr:rowOff>
    </xdr:to>
    <xdr:graphicFrame macro="">
      <xdr:nvGraphicFramePr>
        <xdr:cNvPr id="2" name="Chart 1">
          <a:extLst>
            <a:ext uri="{FF2B5EF4-FFF2-40B4-BE49-F238E27FC236}">
              <a16:creationId xmlns:a16="http://schemas.microsoft.com/office/drawing/2014/main" id="{19765A9E-BA67-46A3-8F66-B50AF0C36619}"/>
            </a:ext>
            <a:ext uri="{147F2762-F138-4A5C-976F-8EAC2B608ADB}">
              <a16:predDERef xmlns:a16="http://schemas.microsoft.com/office/drawing/2014/main" pred="{CFE5765D-CC7E-40F6-9070-1C3542DB63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28</xdr:row>
      <xdr:rowOff>0</xdr:rowOff>
    </xdr:from>
    <xdr:to>
      <xdr:col>18</xdr:col>
      <xdr:colOff>38519</xdr:colOff>
      <xdr:row>45</xdr:row>
      <xdr:rowOff>30816</xdr:rowOff>
    </xdr:to>
    <xdr:sp macro="" textlink="">
      <xdr:nvSpPr>
        <xdr:cNvPr id="3" name="TextBox 2">
          <a:extLst>
            <a:ext uri="{FF2B5EF4-FFF2-40B4-BE49-F238E27FC236}">
              <a16:creationId xmlns:a16="http://schemas.microsoft.com/office/drawing/2014/main" id="{D4DA1DA1-E0A2-4AAA-8CFC-5973D8889903}"/>
            </a:ext>
          </a:extLst>
        </xdr:cNvPr>
        <xdr:cNvSpPr txBox="1"/>
      </xdr:nvSpPr>
      <xdr:spPr>
        <a:xfrm>
          <a:off x="10629900" y="5372100"/>
          <a:ext cx="4305719" cy="336456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11</xdr:col>
      <xdr:colOff>0</xdr:colOff>
      <xdr:row>2</xdr:row>
      <xdr:rowOff>0</xdr:rowOff>
    </xdr:from>
    <xdr:to>
      <xdr:col>25</xdr:col>
      <xdr:colOff>274304</xdr:colOff>
      <xdr:row>23</xdr:row>
      <xdr:rowOff>136631</xdr:rowOff>
    </xdr:to>
    <xdr:graphicFrame macro="">
      <xdr:nvGraphicFramePr>
        <xdr:cNvPr id="2" name="Chart 1">
          <a:extLst>
            <a:ext uri="{FF2B5EF4-FFF2-40B4-BE49-F238E27FC236}">
              <a16:creationId xmlns:a16="http://schemas.microsoft.com/office/drawing/2014/main" id="{826F1456-5BE1-48F0-82E0-B436B2546A58}"/>
            </a:ext>
            <a:ext uri="{147F2762-F138-4A5C-976F-8EAC2B608ADB}">
              <a16:predDERef xmlns:a16="http://schemas.microsoft.com/office/drawing/2014/main" pred="{CFE5765D-CC7E-40F6-9070-1C3542DB63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28</xdr:row>
      <xdr:rowOff>0</xdr:rowOff>
    </xdr:from>
    <xdr:to>
      <xdr:col>18</xdr:col>
      <xdr:colOff>38519</xdr:colOff>
      <xdr:row>45</xdr:row>
      <xdr:rowOff>30816</xdr:rowOff>
    </xdr:to>
    <xdr:sp macro="" textlink="">
      <xdr:nvSpPr>
        <xdr:cNvPr id="3" name="TextBox 2">
          <a:extLst>
            <a:ext uri="{FF2B5EF4-FFF2-40B4-BE49-F238E27FC236}">
              <a16:creationId xmlns:a16="http://schemas.microsoft.com/office/drawing/2014/main" id="{0C377304-9477-43B3-A4F4-1CAC22B984A2}"/>
            </a:ext>
          </a:extLst>
        </xdr:cNvPr>
        <xdr:cNvSpPr txBox="1"/>
      </xdr:nvSpPr>
      <xdr:spPr>
        <a:xfrm>
          <a:off x="10629900" y="5372100"/>
          <a:ext cx="4305719" cy="336456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11</xdr:col>
      <xdr:colOff>0</xdr:colOff>
      <xdr:row>2</xdr:row>
      <xdr:rowOff>0</xdr:rowOff>
    </xdr:from>
    <xdr:to>
      <xdr:col>25</xdr:col>
      <xdr:colOff>274304</xdr:colOff>
      <xdr:row>23</xdr:row>
      <xdr:rowOff>136631</xdr:rowOff>
    </xdr:to>
    <xdr:graphicFrame macro="">
      <xdr:nvGraphicFramePr>
        <xdr:cNvPr id="2" name="Chart 1">
          <a:extLst>
            <a:ext uri="{FF2B5EF4-FFF2-40B4-BE49-F238E27FC236}">
              <a16:creationId xmlns:a16="http://schemas.microsoft.com/office/drawing/2014/main" id="{9D68AED9-098E-42F9-B17D-CEC1CF9E1650}"/>
            </a:ext>
            <a:ext uri="{147F2762-F138-4A5C-976F-8EAC2B608ADB}">
              <a16:predDERef xmlns:a16="http://schemas.microsoft.com/office/drawing/2014/main" pred="{CFE5765D-CC7E-40F6-9070-1C3542DB63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28</xdr:row>
      <xdr:rowOff>0</xdr:rowOff>
    </xdr:from>
    <xdr:to>
      <xdr:col>18</xdr:col>
      <xdr:colOff>38519</xdr:colOff>
      <xdr:row>45</xdr:row>
      <xdr:rowOff>30816</xdr:rowOff>
    </xdr:to>
    <xdr:sp macro="" textlink="">
      <xdr:nvSpPr>
        <xdr:cNvPr id="3" name="TextBox 2">
          <a:extLst>
            <a:ext uri="{FF2B5EF4-FFF2-40B4-BE49-F238E27FC236}">
              <a16:creationId xmlns:a16="http://schemas.microsoft.com/office/drawing/2014/main" id="{0FDF6627-1AF5-4F8E-ADD5-A0D19142E09D}"/>
            </a:ext>
          </a:extLst>
        </xdr:cNvPr>
        <xdr:cNvSpPr txBox="1"/>
      </xdr:nvSpPr>
      <xdr:spPr>
        <a:xfrm>
          <a:off x="11109960" y="5151120"/>
          <a:ext cx="4305719" cy="322994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11</xdr:col>
      <xdr:colOff>0</xdr:colOff>
      <xdr:row>2</xdr:row>
      <xdr:rowOff>0</xdr:rowOff>
    </xdr:from>
    <xdr:to>
      <xdr:col>25</xdr:col>
      <xdr:colOff>274304</xdr:colOff>
      <xdr:row>23</xdr:row>
      <xdr:rowOff>136631</xdr:rowOff>
    </xdr:to>
    <xdr:graphicFrame macro="">
      <xdr:nvGraphicFramePr>
        <xdr:cNvPr id="2" name="Chart 1">
          <a:extLst>
            <a:ext uri="{FF2B5EF4-FFF2-40B4-BE49-F238E27FC236}">
              <a16:creationId xmlns:a16="http://schemas.microsoft.com/office/drawing/2014/main" id="{7BE8E663-57A7-49B5-A17E-8600479609E9}"/>
            </a:ext>
            <a:ext uri="{147F2762-F138-4A5C-976F-8EAC2B608ADB}">
              <a16:predDERef xmlns:a16="http://schemas.microsoft.com/office/drawing/2014/main" pred="{CFE5765D-CC7E-40F6-9070-1C3542DB63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28</xdr:row>
      <xdr:rowOff>0</xdr:rowOff>
    </xdr:from>
    <xdr:to>
      <xdr:col>18</xdr:col>
      <xdr:colOff>38519</xdr:colOff>
      <xdr:row>45</xdr:row>
      <xdr:rowOff>30816</xdr:rowOff>
    </xdr:to>
    <xdr:sp macro="" textlink="">
      <xdr:nvSpPr>
        <xdr:cNvPr id="3" name="TextBox 2">
          <a:extLst>
            <a:ext uri="{FF2B5EF4-FFF2-40B4-BE49-F238E27FC236}">
              <a16:creationId xmlns:a16="http://schemas.microsoft.com/office/drawing/2014/main" id="{73E61BAD-7A2F-4A35-B611-D82433A05D26}"/>
            </a:ext>
          </a:extLst>
        </xdr:cNvPr>
        <xdr:cNvSpPr txBox="1"/>
      </xdr:nvSpPr>
      <xdr:spPr>
        <a:xfrm>
          <a:off x="10629900" y="5372100"/>
          <a:ext cx="4305719" cy="336456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17</xdr:col>
      <xdr:colOff>885825</xdr:colOff>
      <xdr:row>14</xdr:row>
      <xdr:rowOff>66675</xdr:rowOff>
    </xdr:from>
    <xdr:to>
      <xdr:col>30</xdr:col>
      <xdr:colOff>466725</xdr:colOff>
      <xdr:row>59</xdr:row>
      <xdr:rowOff>66675</xdr:rowOff>
    </xdr:to>
    <xdr:sp macro="" textlink="">
      <xdr:nvSpPr>
        <xdr:cNvPr id="5" name="TextBox 4">
          <a:extLst>
            <a:ext uri="{FF2B5EF4-FFF2-40B4-BE49-F238E27FC236}">
              <a16:creationId xmlns:a16="http://schemas.microsoft.com/office/drawing/2014/main" id="{341889FE-415F-4B23-A25C-B29D1AB6639A}"/>
            </a:ext>
          </a:extLst>
        </xdr:cNvPr>
        <xdr:cNvSpPr txBox="1"/>
      </xdr:nvSpPr>
      <xdr:spPr>
        <a:xfrm>
          <a:off x="22307550" y="3771900"/>
          <a:ext cx="8677275" cy="814387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t>The </a:t>
          </a:r>
          <a:r>
            <a:rPr lang="en-US" sz="2000" b="1"/>
            <a:t>Key Statistics </a:t>
          </a:r>
          <a:r>
            <a:rPr lang="en-US" sz="2000"/>
            <a:t>provide the </a:t>
          </a:r>
          <a:r>
            <a:rPr lang="en-US" sz="2000" b="1"/>
            <a:t>Average Kelp Density </a:t>
          </a:r>
          <a:r>
            <a:rPr lang="en-US" sz="2000" b="0"/>
            <a:t>as the number </a:t>
          </a:r>
          <a:r>
            <a:rPr lang="en-US" sz="2000"/>
            <a:t>of bull kelps in each m</a:t>
          </a:r>
          <a:r>
            <a:rPr lang="en-US" sz="2000" baseline="30000"/>
            <a:t>2</a:t>
          </a:r>
          <a:r>
            <a:rPr lang="en-US" sz="2000"/>
            <a:t> quadrat averaged</a:t>
          </a:r>
          <a:r>
            <a:rPr lang="en-US" sz="2000" baseline="0"/>
            <a:t> </a:t>
          </a:r>
          <a:r>
            <a:rPr lang="en-US" sz="2000"/>
            <a:t>across all of the quadrats measured for a given kelp</a:t>
          </a:r>
          <a:r>
            <a:rPr lang="en-US" sz="2000" baseline="0"/>
            <a:t> bed in</a:t>
          </a:r>
          <a:r>
            <a:rPr lang="en-US" sz="2000"/>
            <a:t> the current year.</a:t>
          </a:r>
          <a:r>
            <a:rPr lang="en-US" sz="2000" baseline="0"/>
            <a:t> T</a:t>
          </a:r>
          <a:r>
            <a:rPr lang="en-US" sz="2000"/>
            <a:t>he </a:t>
          </a:r>
          <a:r>
            <a:rPr lang="en-US" sz="2000" b="1"/>
            <a:t>Standard Deviation</a:t>
          </a:r>
          <a:r>
            <a:rPr lang="en-US" sz="2000" b="0"/>
            <a:t>,</a:t>
          </a:r>
          <a:r>
            <a:rPr lang="en-US" sz="2000"/>
            <a:t> a measure of how much the number of bull kelps in each m</a:t>
          </a:r>
          <a:r>
            <a:rPr lang="en-US" sz="2000" baseline="30000"/>
            <a:t>2</a:t>
          </a:r>
          <a:r>
            <a:rPr lang="en-US" sz="2000"/>
            <a:t> quadrat vary within a kelp bed. If most of the quadrats contain a</a:t>
          </a:r>
          <a:r>
            <a:rPr lang="en-US" sz="2000" baseline="0"/>
            <a:t> similar number of bull kelps</a:t>
          </a:r>
          <a:r>
            <a:rPr lang="en-US" sz="2000"/>
            <a:t>, the standard deviation is small. But if you have some quadrats with many bull kelps and some with few or</a:t>
          </a:r>
          <a:r>
            <a:rPr lang="en-US" sz="2000" baseline="0"/>
            <a:t> no bull kelps</a:t>
          </a:r>
          <a:r>
            <a:rPr lang="en-US" sz="2000"/>
            <a:t>, the standard deviation will be larger. Standard deviation gives us a sense</a:t>
          </a:r>
          <a:r>
            <a:rPr lang="en-US" sz="2000" baseline="0"/>
            <a:t> of how consistent (low standard deviation) or variable (high standard deviation) kelp density is within a bed. The more kelp density varies within a bed, the more quadrats we need to measure to confidently determine the density of kelp in that bed. The number of quadrats measured per kelp bed is the </a:t>
          </a:r>
          <a:r>
            <a:rPr lang="en-US" sz="2000" b="1" baseline="0"/>
            <a:t>Sampe Size (n)</a:t>
          </a:r>
          <a:r>
            <a:rPr lang="en-US" sz="2000" baseline="0"/>
            <a:t>.</a:t>
          </a:r>
        </a:p>
        <a:p>
          <a:endParaRPr lang="en-US" sz="2000" baseline="0"/>
        </a:p>
        <a:p>
          <a:r>
            <a:rPr lang="en-US" sz="2000" b="1">
              <a:solidFill>
                <a:schemeClr val="dk1"/>
              </a:solidFill>
              <a:effectLst/>
              <a:latin typeface="+mn-lt"/>
              <a:ea typeface="+mn-ea"/>
              <a:cs typeface="+mn-cs"/>
            </a:rPr>
            <a:t>Figure 1 </a:t>
          </a:r>
          <a:r>
            <a:rPr lang="en-US" sz="2000">
              <a:solidFill>
                <a:schemeClr val="dk1"/>
              </a:solidFill>
              <a:effectLst/>
              <a:latin typeface="+mn-lt"/>
              <a:ea typeface="+mn-ea"/>
              <a:cs typeface="+mn-cs"/>
            </a:rPr>
            <a:t>visually represents the </a:t>
          </a:r>
          <a:r>
            <a:rPr lang="en-US" sz="2000" b="0">
              <a:solidFill>
                <a:schemeClr val="dk1"/>
              </a:solidFill>
              <a:effectLst/>
              <a:latin typeface="+mn-lt"/>
              <a:ea typeface="+mn-ea"/>
              <a:cs typeface="+mn-cs"/>
            </a:rPr>
            <a:t>Key Statistics</a:t>
          </a:r>
          <a:r>
            <a:rPr lang="en-US" sz="2000">
              <a:solidFill>
                <a:schemeClr val="dk1"/>
              </a:solidFill>
              <a:effectLst/>
              <a:latin typeface="+mn-lt"/>
              <a:ea typeface="+mn-ea"/>
              <a:cs typeface="+mn-cs"/>
            </a:rPr>
            <a:t>.</a:t>
          </a:r>
          <a:r>
            <a:rPr lang="en-US" sz="2000" baseline="0">
              <a:solidFill>
                <a:schemeClr val="dk1"/>
              </a:solidFill>
              <a:effectLst/>
              <a:latin typeface="+mn-lt"/>
              <a:ea typeface="+mn-ea"/>
              <a:cs typeface="+mn-cs"/>
            </a:rPr>
            <a:t> The coloured bars represent the average kelp </a:t>
          </a:r>
          <a:r>
            <a:rPr lang="en-US" sz="2000">
              <a:solidFill>
                <a:schemeClr val="dk1"/>
              </a:solidFill>
              <a:effectLst/>
              <a:latin typeface="+mn-lt"/>
              <a:ea typeface="+mn-ea"/>
              <a:cs typeface="+mn-cs"/>
            </a:rPr>
            <a:t>density and</a:t>
          </a:r>
          <a:r>
            <a:rPr lang="en-US" sz="2000" baseline="0">
              <a:solidFill>
                <a:schemeClr val="dk1"/>
              </a:solidFill>
              <a:effectLst/>
              <a:latin typeface="+mn-lt"/>
              <a:ea typeface="+mn-ea"/>
              <a:cs typeface="+mn-cs"/>
            </a:rPr>
            <a:t> extent (area) of the kelp bed, the black whiskers on top of the bars show the standard deviation in kelp density. The sample size for each kelp bed is shown below the bars.</a:t>
          </a:r>
        </a:p>
        <a:p>
          <a:endParaRPr lang="en-US" sz="20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2000" b="1" baseline="0">
              <a:solidFill>
                <a:schemeClr val="dk1"/>
              </a:solidFill>
              <a:effectLst/>
              <a:latin typeface="+mn-lt"/>
              <a:ea typeface="+mn-ea"/>
              <a:cs typeface="+mn-cs"/>
            </a:rPr>
            <a:t>Figure 2</a:t>
          </a:r>
          <a:r>
            <a:rPr lang="en-US" sz="2000" baseline="0">
              <a:solidFill>
                <a:schemeClr val="dk1"/>
              </a:solidFill>
              <a:effectLst/>
              <a:latin typeface="+mn-lt"/>
              <a:ea typeface="+mn-ea"/>
              <a:cs typeface="+mn-cs"/>
            </a:rPr>
            <a:t> shows the average percentage cover of bryozoans per site and the standard deviation as black whisker on tope of each bar. The sample size for each kelp bed is shown below the bars.</a:t>
          </a:r>
          <a:endParaRPr lang="en-CA" sz="2000">
            <a:effectLst/>
          </a:endParaRPr>
        </a:p>
        <a:p>
          <a:endParaRPr lang="en-US" sz="2000">
            <a:effectLst/>
          </a:endParaRPr>
        </a:p>
        <a:p>
          <a:endParaRPr lang="en-CA" sz="1600">
            <a:effectLst/>
          </a:endParaRPr>
        </a:p>
      </xdr:txBody>
    </xdr:sp>
    <xdr:clientData/>
  </xdr:twoCellAnchor>
  <xdr:twoCellAnchor>
    <xdr:from>
      <xdr:col>1</xdr:col>
      <xdr:colOff>41192</xdr:colOff>
      <xdr:row>14</xdr:row>
      <xdr:rowOff>45520</xdr:rowOff>
    </xdr:from>
    <xdr:to>
      <xdr:col>17</xdr:col>
      <xdr:colOff>247650</xdr:colOff>
      <xdr:row>66</xdr:row>
      <xdr:rowOff>171450</xdr:rowOff>
    </xdr:to>
    <xdr:graphicFrame macro="">
      <xdr:nvGraphicFramePr>
        <xdr:cNvPr id="6" name="Chart 5">
          <a:extLst>
            <a:ext uri="{FF2B5EF4-FFF2-40B4-BE49-F238E27FC236}">
              <a16:creationId xmlns:a16="http://schemas.microsoft.com/office/drawing/2014/main" id="{2025AA4D-D632-7082-EB9A-A6C78F1B78C2}"/>
            </a:ext>
            <a:ext uri="{147F2762-F138-4A5C-976F-8EAC2B608ADB}">
              <a16:predDERef xmlns:a16="http://schemas.microsoft.com/office/drawing/2014/main" pred="{341889FE-415F-4B23-A25C-B29D1AB663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70</xdr:row>
      <xdr:rowOff>127000</xdr:rowOff>
    </xdr:from>
    <xdr:to>
      <xdr:col>17</xdr:col>
      <xdr:colOff>317500</xdr:colOff>
      <xdr:row>121</xdr:row>
      <xdr:rowOff>127000</xdr:rowOff>
    </xdr:to>
    <xdr:graphicFrame macro="">
      <xdr:nvGraphicFramePr>
        <xdr:cNvPr id="2" name="Chart 1">
          <a:extLst>
            <a:ext uri="{FF2B5EF4-FFF2-40B4-BE49-F238E27FC236}">
              <a16:creationId xmlns:a16="http://schemas.microsoft.com/office/drawing/2014/main" id="{81D39A9B-8481-4267-9310-CB6ABE533EE5}"/>
            </a:ext>
            <a:ext uri="{147F2762-F138-4A5C-976F-8EAC2B608ADB}">
              <a16:predDERef xmlns:a16="http://schemas.microsoft.com/office/drawing/2014/main" pred="{2025AA4D-D632-7082-EB9A-A6C78F1B78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11</xdr:col>
      <xdr:colOff>0</xdr:colOff>
      <xdr:row>4</xdr:row>
      <xdr:rowOff>9525</xdr:rowOff>
    </xdr:from>
    <xdr:to>
      <xdr:col>25</xdr:col>
      <xdr:colOff>294715</xdr:colOff>
      <xdr:row>25</xdr:row>
      <xdr:rowOff>146156</xdr:rowOff>
    </xdr:to>
    <xdr:graphicFrame macro="">
      <xdr:nvGraphicFramePr>
        <xdr:cNvPr id="4" name="Chart 3">
          <a:extLst>
            <a:ext uri="{FF2B5EF4-FFF2-40B4-BE49-F238E27FC236}">
              <a16:creationId xmlns:a16="http://schemas.microsoft.com/office/drawing/2014/main" id="{3C33A37B-7C74-46DB-9889-F1D941CE4427}"/>
            </a:ext>
            <a:ext uri="{147F2762-F138-4A5C-976F-8EAC2B608ADB}">
              <a16:predDERef xmlns:a16="http://schemas.microsoft.com/office/drawing/2014/main" pred="{F05E3244-383B-4FF1-94FC-3F79048CE7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xdr:colOff>
      <xdr:row>30</xdr:row>
      <xdr:rowOff>0</xdr:rowOff>
    </xdr:from>
    <xdr:to>
      <xdr:col>17</xdr:col>
      <xdr:colOff>571501</xdr:colOff>
      <xdr:row>47</xdr:row>
      <xdr:rowOff>59531</xdr:rowOff>
    </xdr:to>
    <xdr:sp macro="" textlink="">
      <xdr:nvSpPr>
        <xdr:cNvPr id="2" name="TextBox 1">
          <a:extLst>
            <a:ext uri="{FF2B5EF4-FFF2-40B4-BE49-F238E27FC236}">
              <a16:creationId xmlns:a16="http://schemas.microsoft.com/office/drawing/2014/main" id="{1B62C402-8403-4698-9CEB-5B81422D7E12}"/>
            </a:ext>
          </a:extLst>
        </xdr:cNvPr>
        <xdr:cNvSpPr txBox="1"/>
      </xdr:nvSpPr>
      <xdr:spPr>
        <a:xfrm>
          <a:off x="10798970" y="5762625"/>
          <a:ext cx="4214812" cy="3393281"/>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11</xdr:col>
      <xdr:colOff>0</xdr:colOff>
      <xdr:row>2</xdr:row>
      <xdr:rowOff>0</xdr:rowOff>
    </xdr:from>
    <xdr:to>
      <xdr:col>25</xdr:col>
      <xdr:colOff>274304</xdr:colOff>
      <xdr:row>23</xdr:row>
      <xdr:rowOff>136631</xdr:rowOff>
    </xdr:to>
    <xdr:graphicFrame macro="">
      <xdr:nvGraphicFramePr>
        <xdr:cNvPr id="2" name="Chart 1">
          <a:extLst>
            <a:ext uri="{FF2B5EF4-FFF2-40B4-BE49-F238E27FC236}">
              <a16:creationId xmlns:a16="http://schemas.microsoft.com/office/drawing/2014/main" id="{C9C5E1CC-129A-4445-B165-17EC6F6658D5}"/>
            </a:ext>
            <a:ext uri="{147F2762-F138-4A5C-976F-8EAC2B608ADB}">
              <a16:predDERef xmlns:a16="http://schemas.microsoft.com/office/drawing/2014/main" pred="{CFE5765D-CC7E-40F6-9070-1C3542DB63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28</xdr:row>
      <xdr:rowOff>0</xdr:rowOff>
    </xdr:from>
    <xdr:to>
      <xdr:col>18</xdr:col>
      <xdr:colOff>38519</xdr:colOff>
      <xdr:row>45</xdr:row>
      <xdr:rowOff>30816</xdr:rowOff>
    </xdr:to>
    <xdr:sp macro="" textlink="">
      <xdr:nvSpPr>
        <xdr:cNvPr id="3" name="TextBox 2">
          <a:extLst>
            <a:ext uri="{FF2B5EF4-FFF2-40B4-BE49-F238E27FC236}">
              <a16:creationId xmlns:a16="http://schemas.microsoft.com/office/drawing/2014/main" id="{764C5240-3CFE-45A5-BD62-8A18050530E6}"/>
            </a:ext>
          </a:extLst>
        </xdr:cNvPr>
        <xdr:cNvSpPr txBox="1"/>
      </xdr:nvSpPr>
      <xdr:spPr>
        <a:xfrm>
          <a:off x="11106150" y="5181600"/>
          <a:ext cx="4305719" cy="325026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11</xdr:col>
      <xdr:colOff>9525</xdr:colOff>
      <xdr:row>2</xdr:row>
      <xdr:rowOff>0</xdr:rowOff>
    </xdr:from>
    <xdr:to>
      <xdr:col>25</xdr:col>
      <xdr:colOff>304240</xdr:colOff>
      <xdr:row>23</xdr:row>
      <xdr:rowOff>136631</xdr:rowOff>
    </xdr:to>
    <xdr:graphicFrame macro="">
      <xdr:nvGraphicFramePr>
        <xdr:cNvPr id="4" name="Chart 3">
          <a:extLst>
            <a:ext uri="{FF2B5EF4-FFF2-40B4-BE49-F238E27FC236}">
              <a16:creationId xmlns:a16="http://schemas.microsoft.com/office/drawing/2014/main" id="{2CCC55F5-B63E-45FA-832B-C5A89EAE8E29}"/>
            </a:ext>
            <a:ext uri="{147F2762-F138-4A5C-976F-8EAC2B608ADB}">
              <a16:predDERef xmlns:a16="http://schemas.microsoft.com/office/drawing/2014/main" pred="{99624409-30C2-459F-A783-B31348A543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28</xdr:row>
      <xdr:rowOff>0</xdr:rowOff>
    </xdr:from>
    <xdr:to>
      <xdr:col>18</xdr:col>
      <xdr:colOff>38520</xdr:colOff>
      <xdr:row>45</xdr:row>
      <xdr:rowOff>30816</xdr:rowOff>
    </xdr:to>
    <xdr:sp macro="" textlink="">
      <xdr:nvSpPr>
        <xdr:cNvPr id="2" name="TextBox 1">
          <a:extLst>
            <a:ext uri="{FF2B5EF4-FFF2-40B4-BE49-F238E27FC236}">
              <a16:creationId xmlns:a16="http://schemas.microsoft.com/office/drawing/2014/main" id="{C8F141F8-7500-4AAB-BDA0-70EF662F4A9C}"/>
            </a:ext>
          </a:extLst>
        </xdr:cNvPr>
        <xdr:cNvSpPr txBox="1"/>
      </xdr:nvSpPr>
      <xdr:spPr>
        <a:xfrm>
          <a:off x="10768853" y="5378824"/>
          <a:ext cx="4274343" cy="3381374"/>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11</xdr:col>
      <xdr:colOff>11207</xdr:colOff>
      <xdr:row>2</xdr:row>
      <xdr:rowOff>0</xdr:rowOff>
    </xdr:from>
    <xdr:to>
      <xdr:col>28</xdr:col>
      <xdr:colOff>0</xdr:colOff>
      <xdr:row>23</xdr:row>
      <xdr:rowOff>124384</xdr:rowOff>
    </xdr:to>
    <xdr:graphicFrame macro="">
      <xdr:nvGraphicFramePr>
        <xdr:cNvPr id="2" name="Chart 1">
          <a:extLst>
            <a:ext uri="{FF2B5EF4-FFF2-40B4-BE49-F238E27FC236}">
              <a16:creationId xmlns:a16="http://schemas.microsoft.com/office/drawing/2014/main" id="{1F492E8F-A07A-44CB-80D1-F311DED167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28</xdr:row>
      <xdr:rowOff>0</xdr:rowOff>
    </xdr:from>
    <xdr:to>
      <xdr:col>18</xdr:col>
      <xdr:colOff>38520</xdr:colOff>
      <xdr:row>45</xdr:row>
      <xdr:rowOff>30816</xdr:rowOff>
    </xdr:to>
    <xdr:sp macro="" textlink="">
      <xdr:nvSpPr>
        <xdr:cNvPr id="4" name="TextBox 3">
          <a:extLst>
            <a:ext uri="{FF2B5EF4-FFF2-40B4-BE49-F238E27FC236}">
              <a16:creationId xmlns:a16="http://schemas.microsoft.com/office/drawing/2014/main" id="{2193FB46-C2AE-4894-95BE-3F05003749C2}"/>
            </a:ext>
          </a:extLst>
        </xdr:cNvPr>
        <xdr:cNvSpPr txBox="1"/>
      </xdr:nvSpPr>
      <xdr:spPr>
        <a:xfrm>
          <a:off x="10869706" y="5378824"/>
          <a:ext cx="4274343" cy="3381374"/>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11</xdr:col>
      <xdr:colOff>0</xdr:colOff>
      <xdr:row>2</xdr:row>
      <xdr:rowOff>0</xdr:rowOff>
    </xdr:from>
    <xdr:to>
      <xdr:col>25</xdr:col>
      <xdr:colOff>274304</xdr:colOff>
      <xdr:row>23</xdr:row>
      <xdr:rowOff>136631</xdr:rowOff>
    </xdr:to>
    <xdr:graphicFrame macro="">
      <xdr:nvGraphicFramePr>
        <xdr:cNvPr id="2" name="Chart 1">
          <a:extLst>
            <a:ext uri="{FF2B5EF4-FFF2-40B4-BE49-F238E27FC236}">
              <a16:creationId xmlns:a16="http://schemas.microsoft.com/office/drawing/2014/main" id="{8F7DA3EB-E19E-4556-B644-CB91B2195B75}"/>
            </a:ext>
            <a:ext uri="{147F2762-F138-4A5C-976F-8EAC2B608ADB}">
              <a16:predDERef xmlns:a16="http://schemas.microsoft.com/office/drawing/2014/main" pred="{CFE5765D-CC7E-40F6-9070-1C3542DB63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28</xdr:row>
      <xdr:rowOff>0</xdr:rowOff>
    </xdr:from>
    <xdr:to>
      <xdr:col>18</xdr:col>
      <xdr:colOff>38519</xdr:colOff>
      <xdr:row>45</xdr:row>
      <xdr:rowOff>30816</xdr:rowOff>
    </xdr:to>
    <xdr:sp macro="" textlink="">
      <xdr:nvSpPr>
        <xdr:cNvPr id="3" name="TextBox 2">
          <a:extLst>
            <a:ext uri="{FF2B5EF4-FFF2-40B4-BE49-F238E27FC236}">
              <a16:creationId xmlns:a16="http://schemas.microsoft.com/office/drawing/2014/main" id="{AC7982E3-105D-4999-92EB-2AE0273818BD}"/>
            </a:ext>
          </a:extLst>
        </xdr:cNvPr>
        <xdr:cNvSpPr txBox="1"/>
      </xdr:nvSpPr>
      <xdr:spPr>
        <a:xfrm>
          <a:off x="11106150" y="5181600"/>
          <a:ext cx="4305719" cy="325026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11</xdr:col>
      <xdr:colOff>11207</xdr:colOff>
      <xdr:row>2</xdr:row>
      <xdr:rowOff>0</xdr:rowOff>
    </xdr:from>
    <xdr:to>
      <xdr:col>28</xdr:col>
      <xdr:colOff>0</xdr:colOff>
      <xdr:row>23</xdr:row>
      <xdr:rowOff>124384</xdr:rowOff>
    </xdr:to>
    <xdr:graphicFrame macro="">
      <xdr:nvGraphicFramePr>
        <xdr:cNvPr id="2" name="Chart 1">
          <a:extLst>
            <a:ext uri="{FF2B5EF4-FFF2-40B4-BE49-F238E27FC236}">
              <a16:creationId xmlns:a16="http://schemas.microsoft.com/office/drawing/2014/main" id="{847F34BD-7DB9-4C71-BE16-07A00FF3A3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28</xdr:row>
      <xdr:rowOff>0</xdr:rowOff>
    </xdr:from>
    <xdr:to>
      <xdr:col>18</xdr:col>
      <xdr:colOff>38520</xdr:colOff>
      <xdr:row>45</xdr:row>
      <xdr:rowOff>30816</xdr:rowOff>
    </xdr:to>
    <xdr:sp macro="" textlink="">
      <xdr:nvSpPr>
        <xdr:cNvPr id="3" name="TextBox 2">
          <a:extLst>
            <a:ext uri="{FF2B5EF4-FFF2-40B4-BE49-F238E27FC236}">
              <a16:creationId xmlns:a16="http://schemas.microsoft.com/office/drawing/2014/main" id="{95DCED05-E7AD-4B4C-B1EF-0602684783BB}"/>
            </a:ext>
          </a:extLst>
        </xdr:cNvPr>
        <xdr:cNvSpPr txBox="1"/>
      </xdr:nvSpPr>
      <xdr:spPr>
        <a:xfrm>
          <a:off x="10877550" y="5372100"/>
          <a:ext cx="4305720" cy="336456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11</xdr:col>
      <xdr:colOff>11207</xdr:colOff>
      <xdr:row>2</xdr:row>
      <xdr:rowOff>0</xdr:rowOff>
    </xdr:from>
    <xdr:to>
      <xdr:col>28</xdr:col>
      <xdr:colOff>0</xdr:colOff>
      <xdr:row>23</xdr:row>
      <xdr:rowOff>124384</xdr:rowOff>
    </xdr:to>
    <xdr:graphicFrame macro="">
      <xdr:nvGraphicFramePr>
        <xdr:cNvPr id="2" name="Chart 1">
          <a:extLst>
            <a:ext uri="{FF2B5EF4-FFF2-40B4-BE49-F238E27FC236}">
              <a16:creationId xmlns:a16="http://schemas.microsoft.com/office/drawing/2014/main" id="{76B2EFC7-F4C4-411E-9746-B63D59E00A2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28</xdr:row>
      <xdr:rowOff>0</xdr:rowOff>
    </xdr:from>
    <xdr:to>
      <xdr:col>18</xdr:col>
      <xdr:colOff>38520</xdr:colOff>
      <xdr:row>45</xdr:row>
      <xdr:rowOff>30816</xdr:rowOff>
    </xdr:to>
    <xdr:sp macro="" textlink="">
      <xdr:nvSpPr>
        <xdr:cNvPr id="3" name="TextBox 2">
          <a:extLst>
            <a:ext uri="{FF2B5EF4-FFF2-40B4-BE49-F238E27FC236}">
              <a16:creationId xmlns:a16="http://schemas.microsoft.com/office/drawing/2014/main" id="{12FD0550-72D7-4AD4-AC8C-D65C4A8F8B06}"/>
            </a:ext>
          </a:extLst>
        </xdr:cNvPr>
        <xdr:cNvSpPr txBox="1"/>
      </xdr:nvSpPr>
      <xdr:spPr>
        <a:xfrm>
          <a:off x="10877550" y="5372100"/>
          <a:ext cx="4305720" cy="336456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11</xdr:col>
      <xdr:colOff>11207</xdr:colOff>
      <xdr:row>2</xdr:row>
      <xdr:rowOff>0</xdr:rowOff>
    </xdr:from>
    <xdr:to>
      <xdr:col>28</xdr:col>
      <xdr:colOff>0</xdr:colOff>
      <xdr:row>23</xdr:row>
      <xdr:rowOff>124384</xdr:rowOff>
    </xdr:to>
    <xdr:graphicFrame macro="">
      <xdr:nvGraphicFramePr>
        <xdr:cNvPr id="2" name="Chart 1">
          <a:extLst>
            <a:ext uri="{FF2B5EF4-FFF2-40B4-BE49-F238E27FC236}">
              <a16:creationId xmlns:a16="http://schemas.microsoft.com/office/drawing/2014/main" id="{5A3EF9A5-0C8D-4277-B807-5DE8312D5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28</xdr:row>
      <xdr:rowOff>0</xdr:rowOff>
    </xdr:from>
    <xdr:to>
      <xdr:col>18</xdr:col>
      <xdr:colOff>38520</xdr:colOff>
      <xdr:row>45</xdr:row>
      <xdr:rowOff>30816</xdr:rowOff>
    </xdr:to>
    <xdr:sp macro="" textlink="">
      <xdr:nvSpPr>
        <xdr:cNvPr id="3" name="TextBox 2">
          <a:extLst>
            <a:ext uri="{FF2B5EF4-FFF2-40B4-BE49-F238E27FC236}">
              <a16:creationId xmlns:a16="http://schemas.microsoft.com/office/drawing/2014/main" id="{56C0070F-FF30-44D2-8D7E-985CA276A7C4}"/>
            </a:ext>
          </a:extLst>
        </xdr:cNvPr>
        <xdr:cNvSpPr txBox="1"/>
      </xdr:nvSpPr>
      <xdr:spPr>
        <a:xfrm>
          <a:off x="10877550" y="5372100"/>
          <a:ext cx="4305720" cy="336456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11</xdr:col>
      <xdr:colOff>11207</xdr:colOff>
      <xdr:row>2</xdr:row>
      <xdr:rowOff>0</xdr:rowOff>
    </xdr:from>
    <xdr:to>
      <xdr:col>28</xdr:col>
      <xdr:colOff>0</xdr:colOff>
      <xdr:row>23</xdr:row>
      <xdr:rowOff>124384</xdr:rowOff>
    </xdr:to>
    <xdr:graphicFrame macro="">
      <xdr:nvGraphicFramePr>
        <xdr:cNvPr id="2" name="Chart 1">
          <a:extLst>
            <a:ext uri="{FF2B5EF4-FFF2-40B4-BE49-F238E27FC236}">
              <a16:creationId xmlns:a16="http://schemas.microsoft.com/office/drawing/2014/main" id="{6753D5EF-D528-4A09-AB0E-577718542C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28</xdr:row>
      <xdr:rowOff>0</xdr:rowOff>
    </xdr:from>
    <xdr:to>
      <xdr:col>18</xdr:col>
      <xdr:colOff>38520</xdr:colOff>
      <xdr:row>45</xdr:row>
      <xdr:rowOff>30816</xdr:rowOff>
    </xdr:to>
    <xdr:sp macro="" textlink="">
      <xdr:nvSpPr>
        <xdr:cNvPr id="3" name="TextBox 2">
          <a:extLst>
            <a:ext uri="{FF2B5EF4-FFF2-40B4-BE49-F238E27FC236}">
              <a16:creationId xmlns:a16="http://schemas.microsoft.com/office/drawing/2014/main" id="{3408E531-F4FF-4E8E-B7F2-B5F6EEE57E6C}"/>
            </a:ext>
          </a:extLst>
        </xdr:cNvPr>
        <xdr:cNvSpPr txBox="1"/>
      </xdr:nvSpPr>
      <xdr:spPr>
        <a:xfrm>
          <a:off x="10877550" y="5372100"/>
          <a:ext cx="4305720" cy="336456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11</xdr:col>
      <xdr:colOff>11207</xdr:colOff>
      <xdr:row>2</xdr:row>
      <xdr:rowOff>0</xdr:rowOff>
    </xdr:from>
    <xdr:to>
      <xdr:col>28</xdr:col>
      <xdr:colOff>0</xdr:colOff>
      <xdr:row>23</xdr:row>
      <xdr:rowOff>124384</xdr:rowOff>
    </xdr:to>
    <xdr:graphicFrame macro="">
      <xdr:nvGraphicFramePr>
        <xdr:cNvPr id="2" name="Chart 1">
          <a:extLst>
            <a:ext uri="{FF2B5EF4-FFF2-40B4-BE49-F238E27FC236}">
              <a16:creationId xmlns:a16="http://schemas.microsoft.com/office/drawing/2014/main" id="{3EECFBD2-D5B7-4A0D-93EE-16F3A8B3FE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28</xdr:row>
      <xdr:rowOff>0</xdr:rowOff>
    </xdr:from>
    <xdr:to>
      <xdr:col>18</xdr:col>
      <xdr:colOff>38520</xdr:colOff>
      <xdr:row>45</xdr:row>
      <xdr:rowOff>30816</xdr:rowOff>
    </xdr:to>
    <xdr:sp macro="" textlink="">
      <xdr:nvSpPr>
        <xdr:cNvPr id="3" name="TextBox 2">
          <a:extLst>
            <a:ext uri="{FF2B5EF4-FFF2-40B4-BE49-F238E27FC236}">
              <a16:creationId xmlns:a16="http://schemas.microsoft.com/office/drawing/2014/main" id="{CC755B5C-AB75-40BE-AA9D-E4DD47433147}"/>
            </a:ext>
          </a:extLst>
        </xdr:cNvPr>
        <xdr:cNvSpPr txBox="1"/>
      </xdr:nvSpPr>
      <xdr:spPr>
        <a:xfrm>
          <a:off x="10877550" y="5372100"/>
          <a:ext cx="4305720" cy="336456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11</xdr:col>
      <xdr:colOff>11207</xdr:colOff>
      <xdr:row>2</xdr:row>
      <xdr:rowOff>0</xdr:rowOff>
    </xdr:from>
    <xdr:to>
      <xdr:col>28</xdr:col>
      <xdr:colOff>0</xdr:colOff>
      <xdr:row>23</xdr:row>
      <xdr:rowOff>124384</xdr:rowOff>
    </xdr:to>
    <xdr:graphicFrame macro="">
      <xdr:nvGraphicFramePr>
        <xdr:cNvPr id="2" name="Chart 1">
          <a:extLst>
            <a:ext uri="{FF2B5EF4-FFF2-40B4-BE49-F238E27FC236}">
              <a16:creationId xmlns:a16="http://schemas.microsoft.com/office/drawing/2014/main" id="{094225FE-634A-4022-A1D3-7D3D700838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28</xdr:row>
      <xdr:rowOff>0</xdr:rowOff>
    </xdr:from>
    <xdr:to>
      <xdr:col>18</xdr:col>
      <xdr:colOff>38520</xdr:colOff>
      <xdr:row>45</xdr:row>
      <xdr:rowOff>30816</xdr:rowOff>
    </xdr:to>
    <xdr:sp macro="" textlink="">
      <xdr:nvSpPr>
        <xdr:cNvPr id="3" name="TextBox 2">
          <a:extLst>
            <a:ext uri="{FF2B5EF4-FFF2-40B4-BE49-F238E27FC236}">
              <a16:creationId xmlns:a16="http://schemas.microsoft.com/office/drawing/2014/main" id="{8A1ED488-B909-4DF4-A10E-76F0A7C6B21B}"/>
            </a:ext>
          </a:extLst>
        </xdr:cNvPr>
        <xdr:cNvSpPr txBox="1"/>
      </xdr:nvSpPr>
      <xdr:spPr>
        <a:xfrm>
          <a:off x="10877550" y="5372100"/>
          <a:ext cx="4305720" cy="336456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11</xdr:col>
      <xdr:colOff>11207</xdr:colOff>
      <xdr:row>2</xdr:row>
      <xdr:rowOff>0</xdr:rowOff>
    </xdr:from>
    <xdr:to>
      <xdr:col>28</xdr:col>
      <xdr:colOff>0</xdr:colOff>
      <xdr:row>23</xdr:row>
      <xdr:rowOff>124384</xdr:rowOff>
    </xdr:to>
    <xdr:graphicFrame macro="">
      <xdr:nvGraphicFramePr>
        <xdr:cNvPr id="2" name="Chart 1">
          <a:extLst>
            <a:ext uri="{FF2B5EF4-FFF2-40B4-BE49-F238E27FC236}">
              <a16:creationId xmlns:a16="http://schemas.microsoft.com/office/drawing/2014/main" id="{AD6F0EF2-CC9C-4C41-A243-B764D6891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28</xdr:row>
      <xdr:rowOff>0</xdr:rowOff>
    </xdr:from>
    <xdr:to>
      <xdr:col>18</xdr:col>
      <xdr:colOff>38520</xdr:colOff>
      <xdr:row>45</xdr:row>
      <xdr:rowOff>30816</xdr:rowOff>
    </xdr:to>
    <xdr:sp macro="" textlink="">
      <xdr:nvSpPr>
        <xdr:cNvPr id="3" name="TextBox 2">
          <a:extLst>
            <a:ext uri="{FF2B5EF4-FFF2-40B4-BE49-F238E27FC236}">
              <a16:creationId xmlns:a16="http://schemas.microsoft.com/office/drawing/2014/main" id="{480B9EB0-6430-4500-9E15-CEBA3F072D6A}"/>
            </a:ext>
          </a:extLst>
        </xdr:cNvPr>
        <xdr:cNvSpPr txBox="1"/>
      </xdr:nvSpPr>
      <xdr:spPr>
        <a:xfrm>
          <a:off x="10877550" y="5372100"/>
          <a:ext cx="4305720" cy="336456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i="0" u="none" strike="noStrike">
              <a:solidFill>
                <a:schemeClr val="dk1"/>
              </a:solidFill>
              <a:effectLst/>
              <a:latin typeface="+mn-lt"/>
              <a:ea typeface="+mn-ea"/>
              <a:cs typeface="+mn-cs"/>
            </a:rPr>
            <a:t>Figure 1 </a:t>
          </a:r>
          <a:r>
            <a:rPr lang="en-US" sz="1600" b="0" i="0" u="none" strike="noStrike">
              <a:solidFill>
                <a:schemeClr val="dk1"/>
              </a:solidFill>
              <a:effectLst/>
              <a:latin typeface="+mn-lt"/>
              <a:ea typeface="+mn-ea"/>
              <a:cs typeface="+mn-cs"/>
            </a:rPr>
            <a:t>shows the number of Bull Kelp bulbs per quadrat (orange bars) with the number indicated on the left vertical axis; and the average stipe diameter (green bars) with the average diameter in milimeters indicated on the right vertical axis.</a:t>
          </a:r>
          <a:r>
            <a:rPr lang="en-US" sz="1600"/>
            <a:t> </a:t>
          </a:r>
          <a:r>
            <a:rPr lang="en-US" sz="1600" b="0" baseline="0">
              <a:solidFill>
                <a:schemeClr val="dk1"/>
              </a:solidFill>
              <a:effectLst/>
              <a:latin typeface="+mn-lt"/>
              <a:ea typeface="+mn-ea"/>
              <a:cs typeface="+mn-cs"/>
            </a:rPr>
            <a:t>The average number of Bulbs and average Stipe Diameter across all quadrats surveyed can be found at the bottom left of the data entry form. </a:t>
          </a:r>
          <a:endParaRPr lang="en-CA" sz="1600">
            <a:effectLst/>
          </a:endParaRPr>
        </a:p>
        <a:p>
          <a:endParaRPr lang="en-US" sz="1600" b="0" baseline="0">
            <a:solidFill>
              <a:schemeClr val="dk1"/>
            </a:solidFill>
            <a:effectLst/>
            <a:latin typeface="+mn-lt"/>
            <a:ea typeface="+mn-ea"/>
            <a:cs typeface="+mn-cs"/>
          </a:endParaRPr>
        </a:p>
        <a:p>
          <a:r>
            <a:rPr lang="en-US" sz="1600" b="0" baseline="0">
              <a:solidFill>
                <a:schemeClr val="dk1"/>
              </a:solidFill>
              <a:effectLst/>
              <a:latin typeface="+mn-lt"/>
              <a:ea typeface="+mn-ea"/>
              <a:cs typeface="+mn-cs"/>
            </a:rPr>
            <a:t>NOTE: Checking the number of Bulbs and Stipe Diameter plotted per quadrat after entering data can help to locate any outliers that might have been entered incorrectly</a:t>
          </a:r>
          <a:endParaRPr lang="en-CA" sz="1600">
            <a:effectLst/>
          </a:endParaRPr>
        </a:p>
        <a:p>
          <a:endParaRPr lang="en-US" sz="1600"/>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9</xdr:col>
      <xdr:colOff>140446</xdr:colOff>
      <xdr:row>2</xdr:row>
      <xdr:rowOff>184149</xdr:rowOff>
    </xdr:from>
    <xdr:to>
      <xdr:col>23</xdr:col>
      <xdr:colOff>313765</xdr:colOff>
      <xdr:row>22</xdr:row>
      <xdr:rowOff>1680882</xdr:rowOff>
    </xdr:to>
    <xdr:graphicFrame macro="">
      <xdr:nvGraphicFramePr>
        <xdr:cNvPr id="2" name="Chart 1">
          <a:extLst>
            <a:ext uri="{FF2B5EF4-FFF2-40B4-BE49-F238E27FC236}">
              <a16:creationId xmlns:a16="http://schemas.microsoft.com/office/drawing/2014/main" id="{F3B6C815-7D22-4A4C-A5E5-594B06105B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130731</xdr:colOff>
      <xdr:row>22</xdr:row>
      <xdr:rowOff>1929464</xdr:rowOff>
    </xdr:from>
    <xdr:to>
      <xdr:col>23</xdr:col>
      <xdr:colOff>349250</xdr:colOff>
      <xdr:row>40</xdr:row>
      <xdr:rowOff>158750</xdr:rowOff>
    </xdr:to>
    <xdr:graphicFrame macro="">
      <xdr:nvGraphicFramePr>
        <xdr:cNvPr id="3" name="Chart 2">
          <a:extLst>
            <a:ext uri="{FF2B5EF4-FFF2-40B4-BE49-F238E27FC236}">
              <a16:creationId xmlns:a16="http://schemas.microsoft.com/office/drawing/2014/main" id="{CCAECECE-40D6-4D14-B72E-3A4F66C4B95B}"/>
            </a:ext>
            <a:ext uri="{147F2762-F138-4A5C-976F-8EAC2B608ADB}">
              <a16:predDERef xmlns:a16="http://schemas.microsoft.com/office/drawing/2014/main" pred="{A6A8D6CD-0AF1-B4D8-E73F-15AEDD071E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9</xdr:col>
      <xdr:colOff>140446</xdr:colOff>
      <xdr:row>2</xdr:row>
      <xdr:rowOff>184149</xdr:rowOff>
    </xdr:from>
    <xdr:to>
      <xdr:col>23</xdr:col>
      <xdr:colOff>313765</xdr:colOff>
      <xdr:row>22</xdr:row>
      <xdr:rowOff>1680882</xdr:rowOff>
    </xdr:to>
    <xdr:graphicFrame macro="">
      <xdr:nvGraphicFramePr>
        <xdr:cNvPr id="2" name="Chart 1">
          <a:extLst>
            <a:ext uri="{FF2B5EF4-FFF2-40B4-BE49-F238E27FC236}">
              <a16:creationId xmlns:a16="http://schemas.microsoft.com/office/drawing/2014/main" id="{F83E69A7-A3CD-405F-93C6-9CD55142FB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130731</xdr:colOff>
      <xdr:row>22</xdr:row>
      <xdr:rowOff>1929464</xdr:rowOff>
    </xdr:from>
    <xdr:to>
      <xdr:col>23</xdr:col>
      <xdr:colOff>349250</xdr:colOff>
      <xdr:row>40</xdr:row>
      <xdr:rowOff>158750</xdr:rowOff>
    </xdr:to>
    <xdr:graphicFrame macro="">
      <xdr:nvGraphicFramePr>
        <xdr:cNvPr id="3" name="Chart 2">
          <a:extLst>
            <a:ext uri="{FF2B5EF4-FFF2-40B4-BE49-F238E27FC236}">
              <a16:creationId xmlns:a16="http://schemas.microsoft.com/office/drawing/2014/main" id="{A7CC490A-8F53-4829-B42F-D7439D657F63}"/>
            </a:ext>
            <a:ext uri="{147F2762-F138-4A5C-976F-8EAC2B608ADB}">
              <a16:predDERef xmlns:a16="http://schemas.microsoft.com/office/drawing/2014/main" pred="{A6A8D6CD-0AF1-B4D8-E73F-15AEDD071E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BEE57-FAD3-4636-8F7B-DF9949B0D145}">
  <sheetPr codeName="Sheet17"/>
  <dimension ref="B2:S10"/>
  <sheetViews>
    <sheetView workbookViewId="0">
      <selection activeCell="C10" sqref="C10"/>
    </sheetView>
  </sheetViews>
  <sheetFormatPr defaultColWidth="9.1796875" defaultRowHeight="14.5" x14ac:dyDescent="0.35"/>
  <cols>
    <col min="1" max="16384" width="9.1796875" style="31"/>
  </cols>
  <sheetData>
    <row r="2" spans="2:19" ht="21" x14ac:dyDescent="0.5">
      <c r="B2" s="56" t="s">
        <v>0</v>
      </c>
    </row>
    <row r="4" spans="2:19" ht="26.25" customHeight="1" x14ac:dyDescent="0.35">
      <c r="B4" s="36" t="s">
        <v>1</v>
      </c>
    </row>
    <row r="5" spans="2:19" ht="26.25" customHeight="1" x14ac:dyDescent="0.35">
      <c r="B5" s="57" t="s">
        <v>2</v>
      </c>
    </row>
    <row r="6" spans="2:19" ht="26.25" customHeight="1" x14ac:dyDescent="0.35">
      <c r="B6" s="57" t="s">
        <v>3</v>
      </c>
    </row>
    <row r="7" spans="2:19" ht="26.25" customHeight="1" x14ac:dyDescent="0.35">
      <c r="B7" s="57" t="s">
        <v>4</v>
      </c>
    </row>
    <row r="8" spans="2:19" ht="26.25" customHeight="1" x14ac:dyDescent="0.35">
      <c r="B8" s="57" t="s">
        <v>5</v>
      </c>
    </row>
    <row r="10" spans="2:19" x14ac:dyDescent="0.35">
      <c r="B10" s="76" t="s">
        <v>6</v>
      </c>
      <c r="C10" s="76"/>
      <c r="D10" s="76"/>
      <c r="E10" s="76"/>
      <c r="F10" s="76"/>
      <c r="G10" s="76"/>
      <c r="H10" s="76"/>
      <c r="I10" s="76"/>
      <c r="J10" s="76"/>
      <c r="K10" s="76"/>
      <c r="L10" s="76"/>
      <c r="M10" s="76"/>
      <c r="N10" s="76"/>
      <c r="O10" s="76"/>
      <c r="P10" s="76"/>
      <c r="Q10" s="76"/>
      <c r="R10" s="76"/>
      <c r="S10" s="76"/>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D37304-2DEF-4934-B4F9-433DEBB37E48}">
  <sheetPr codeName="Sheet18"/>
  <dimension ref="B2:T112"/>
  <sheetViews>
    <sheetView topLeftCell="A54" workbookViewId="0">
      <selection activeCell="C62" sqref="C62:E67"/>
    </sheetView>
  </sheetViews>
  <sheetFormatPr defaultColWidth="9.1796875" defaultRowHeight="14.5" x14ac:dyDescent="0.35"/>
  <cols>
    <col min="1" max="2" width="9.1796875" style="31"/>
    <col min="3" max="3" width="33.453125" style="31" customWidth="1"/>
    <col min="4" max="4" width="30.81640625" style="31" bestFit="1" customWidth="1"/>
    <col min="5" max="5" width="38" style="31" customWidth="1"/>
    <col min="6" max="6" width="22" style="31" bestFit="1" customWidth="1"/>
    <col min="7" max="16384" width="9.1796875" style="31"/>
  </cols>
  <sheetData>
    <row r="2" spans="2:16" ht="23.5" x14ac:dyDescent="0.55000000000000004">
      <c r="C2" s="104" t="s">
        <v>7</v>
      </c>
    </row>
    <row r="3" spans="2:16" x14ac:dyDescent="0.35">
      <c r="C3" s="36"/>
    </row>
    <row r="4" spans="2:16" x14ac:dyDescent="0.35">
      <c r="C4" s="36" t="s">
        <v>8</v>
      </c>
    </row>
    <row r="5" spans="2:16" x14ac:dyDescent="0.35">
      <c r="C5" s="36" t="s">
        <v>9</v>
      </c>
    </row>
    <row r="6" spans="2:16" x14ac:dyDescent="0.35">
      <c r="C6" s="36"/>
    </row>
    <row r="7" spans="2:16" x14ac:dyDescent="0.35">
      <c r="C7" s="36" t="s">
        <v>10</v>
      </c>
    </row>
    <row r="8" spans="2:16" x14ac:dyDescent="0.35">
      <c r="C8" s="36"/>
    </row>
    <row r="9" spans="2:16" x14ac:dyDescent="0.35">
      <c r="C9" s="31" t="s">
        <v>11</v>
      </c>
    </row>
    <row r="10" spans="2:16" x14ac:dyDescent="0.35">
      <c r="C10" s="31" t="s">
        <v>12</v>
      </c>
    </row>
    <row r="11" spans="2:16" x14ac:dyDescent="0.35">
      <c r="C11" s="31" t="s">
        <v>13</v>
      </c>
    </row>
    <row r="12" spans="2:16" x14ac:dyDescent="0.35">
      <c r="C12" s="31" t="s">
        <v>14</v>
      </c>
    </row>
    <row r="13" spans="2:16" x14ac:dyDescent="0.35">
      <c r="C13" s="31" t="s">
        <v>15</v>
      </c>
    </row>
    <row r="14" spans="2:16" x14ac:dyDescent="0.35">
      <c r="P14" s="98"/>
    </row>
    <row r="15" spans="2:16" x14ac:dyDescent="0.35">
      <c r="B15" s="91"/>
      <c r="C15" s="103" t="s">
        <v>16</v>
      </c>
    </row>
    <row r="16" spans="2:16" x14ac:dyDescent="0.35">
      <c r="C16" s="31" t="s">
        <v>17</v>
      </c>
      <c r="L16" s="36"/>
      <c r="M16" s="86"/>
    </row>
    <row r="17" spans="3:20" x14ac:dyDescent="0.35">
      <c r="L17" s="36"/>
      <c r="M17" s="86"/>
    </row>
    <row r="18" spans="3:20" x14ac:dyDescent="0.35">
      <c r="C18" s="31" t="s">
        <v>18</v>
      </c>
    </row>
    <row r="19" spans="3:20" ht="29" x14ac:dyDescent="0.35">
      <c r="C19" s="96" t="s">
        <v>19</v>
      </c>
      <c r="D19" s="97" t="s">
        <v>20</v>
      </c>
      <c r="E19" s="97" t="s">
        <v>21</v>
      </c>
    </row>
    <row r="20" spans="3:20" x14ac:dyDescent="0.35">
      <c r="C20" s="140" t="s">
        <v>22</v>
      </c>
      <c r="D20" s="3" t="s">
        <v>23</v>
      </c>
      <c r="E20" s="85" cm="1">
        <f t="array" ref="E20">AverageStipeDiameter(D20)</f>
        <v>50.2</v>
      </c>
    </row>
    <row r="21" spans="3:20" x14ac:dyDescent="0.35">
      <c r="C21" s="140" t="s">
        <v>24</v>
      </c>
      <c r="D21" s="3" t="s">
        <v>25</v>
      </c>
      <c r="E21" s="85" cm="1">
        <f t="array" ref="E21">AverageStipeDiameter(D21)</f>
        <v>46.6</v>
      </c>
    </row>
    <row r="22" spans="3:20" x14ac:dyDescent="0.35">
      <c r="C22" s="140" t="s">
        <v>26</v>
      </c>
      <c r="D22" s="3" t="s">
        <v>27</v>
      </c>
      <c r="E22" s="85" cm="1">
        <f t="array" ref="E22">AverageStipeDiameter(D22)</f>
        <v>67.8</v>
      </c>
      <c r="S22" s="36"/>
      <c r="T22" s="86"/>
    </row>
    <row r="23" spans="3:20" x14ac:dyDescent="0.35">
      <c r="S23" s="36"/>
      <c r="T23" s="86"/>
    </row>
    <row r="25" spans="3:20" x14ac:dyDescent="0.35">
      <c r="C25" s="31" t="s">
        <v>28</v>
      </c>
    </row>
    <row r="27" spans="3:20" x14ac:dyDescent="0.35">
      <c r="C27" s="147" t="s">
        <v>19</v>
      </c>
      <c r="D27" s="147"/>
      <c r="E27" s="147"/>
    </row>
    <row r="28" spans="3:20" x14ac:dyDescent="0.35">
      <c r="C28" s="140" t="s">
        <v>22</v>
      </c>
      <c r="D28" s="140" t="s">
        <v>24</v>
      </c>
      <c r="E28" s="140" t="s">
        <v>26</v>
      </c>
    </row>
    <row r="29" spans="3:20" x14ac:dyDescent="0.35">
      <c r="C29" s="85">
        <v>64</v>
      </c>
      <c r="D29" s="85">
        <v>38</v>
      </c>
      <c r="E29" s="85">
        <v>42</v>
      </c>
    </row>
    <row r="30" spans="3:20" x14ac:dyDescent="0.35">
      <c r="C30" s="85">
        <v>27</v>
      </c>
      <c r="D30" s="85">
        <v>33</v>
      </c>
      <c r="E30" s="85">
        <v>59</v>
      </c>
    </row>
    <row r="31" spans="3:20" x14ac:dyDescent="0.35">
      <c r="C31" s="85">
        <v>60</v>
      </c>
      <c r="D31" s="85">
        <v>41</v>
      </c>
      <c r="E31" s="85">
        <v>84</v>
      </c>
    </row>
    <row r="32" spans="3:20" x14ac:dyDescent="0.35">
      <c r="C32" s="85">
        <v>62</v>
      </c>
      <c r="D32" s="85">
        <v>35</v>
      </c>
      <c r="E32" s="85">
        <v>85</v>
      </c>
    </row>
    <row r="33" spans="3:5" x14ac:dyDescent="0.35">
      <c r="C33" s="85">
        <v>52</v>
      </c>
      <c r="D33" s="85">
        <v>66</v>
      </c>
      <c r="E33" s="85">
        <v>71</v>
      </c>
    </row>
    <row r="34" spans="3:5" x14ac:dyDescent="0.35">
      <c r="C34" s="85">
        <v>77</v>
      </c>
      <c r="D34" s="85">
        <v>35</v>
      </c>
      <c r="E34" s="85">
        <v>50</v>
      </c>
    </row>
    <row r="35" spans="3:5" x14ac:dyDescent="0.35">
      <c r="C35" s="85">
        <v>32</v>
      </c>
      <c r="D35" s="85">
        <v>20</v>
      </c>
      <c r="E35" s="85">
        <v>85</v>
      </c>
    </row>
    <row r="36" spans="3:5" x14ac:dyDescent="0.35">
      <c r="C36" s="85">
        <v>48</v>
      </c>
      <c r="D36" s="85">
        <v>72</v>
      </c>
      <c r="E36" s="85">
        <v>68</v>
      </c>
    </row>
    <row r="37" spans="3:5" x14ac:dyDescent="0.35">
      <c r="C37" s="85">
        <v>37</v>
      </c>
      <c r="D37" s="85">
        <v>49</v>
      </c>
      <c r="E37" s="85">
        <v>67</v>
      </c>
    </row>
    <row r="38" spans="3:5" x14ac:dyDescent="0.35">
      <c r="C38" s="85">
        <v>43</v>
      </c>
      <c r="D38" s="85">
        <v>77</v>
      </c>
      <c r="E38" s="85">
        <v>67</v>
      </c>
    </row>
    <row r="39" spans="3:5" ht="29.25" customHeight="1" x14ac:dyDescent="0.35">
      <c r="C39" s="148" t="s">
        <v>29</v>
      </c>
      <c r="D39" s="149"/>
      <c r="E39" s="150"/>
    </row>
    <row r="40" spans="3:5" x14ac:dyDescent="0.35">
      <c r="C40" s="85">
        <f>AVERAGE(C29:C38)</f>
        <v>50.2</v>
      </c>
      <c r="D40" s="85">
        <f>AVERAGE(D29:D38)</f>
        <v>46.6</v>
      </c>
      <c r="E40" s="85">
        <f>AVERAGE(E29:E38)</f>
        <v>67.8</v>
      </c>
    </row>
    <row r="42" spans="3:5" x14ac:dyDescent="0.35">
      <c r="C42" s="103" t="s">
        <v>30</v>
      </c>
    </row>
    <row r="43" spans="3:5" x14ac:dyDescent="0.35">
      <c r="C43" s="31" t="s">
        <v>31</v>
      </c>
    </row>
    <row r="45" spans="3:5" x14ac:dyDescent="0.35">
      <c r="C45" s="31" t="s">
        <v>32</v>
      </c>
    </row>
    <row r="46" spans="3:5" x14ac:dyDescent="0.35">
      <c r="C46" s="31" t="s">
        <v>33</v>
      </c>
    </row>
    <row r="47" spans="3:5" x14ac:dyDescent="0.35">
      <c r="C47" s="99"/>
      <c r="D47" s="100"/>
      <c r="E47" s="100"/>
    </row>
    <row r="48" spans="3:5" x14ac:dyDescent="0.35">
      <c r="C48" s="140"/>
      <c r="D48" s="140" t="s">
        <v>34</v>
      </c>
      <c r="E48" s="140" t="s">
        <v>35</v>
      </c>
    </row>
    <row r="49" spans="3:5" x14ac:dyDescent="0.35">
      <c r="C49" s="95" t="s">
        <v>36</v>
      </c>
      <c r="D49" s="102" cm="1">
        <f t="array" ref="D49">AverageCSVcols(D20:D22)</f>
        <v>54.866666666666667</v>
      </c>
      <c r="E49" s="102">
        <f>AVERAGE(C29:E38)</f>
        <v>54.866666666666667</v>
      </c>
    </row>
    <row r="50" spans="3:5" x14ac:dyDescent="0.35">
      <c r="C50" s="101"/>
      <c r="D50" s="66"/>
      <c r="E50" s="66"/>
    </row>
    <row r="51" spans="3:5" x14ac:dyDescent="0.35">
      <c r="C51" s="31" t="s">
        <v>37</v>
      </c>
      <c r="D51" s="66"/>
      <c r="E51" s="66"/>
    </row>
    <row r="52" spans="3:5" x14ac:dyDescent="0.35">
      <c r="D52" s="66"/>
      <c r="E52" s="66"/>
    </row>
    <row r="53" spans="3:5" x14ac:dyDescent="0.35">
      <c r="C53" s="95"/>
      <c r="D53" s="140" t="s">
        <v>38</v>
      </c>
      <c r="E53" s="140" t="s">
        <v>39</v>
      </c>
    </row>
    <row r="54" spans="3:5" x14ac:dyDescent="0.35">
      <c r="C54" s="95" t="s">
        <v>40</v>
      </c>
      <c r="D54" s="102" cm="1">
        <f t="array" ref="D54">StdDevCSV(D20:D22)</f>
        <v>18.225866844192137</v>
      </c>
      <c r="E54" s="102">
        <f>_xlfn.STDEV.P(C29:E38)</f>
        <v>18.225866844192137</v>
      </c>
    </row>
    <row r="57" spans="3:5" x14ac:dyDescent="0.35">
      <c r="C57" s="103" t="s">
        <v>41</v>
      </c>
    </row>
    <row r="59" spans="3:5" x14ac:dyDescent="0.35">
      <c r="C59" s="31" t="s">
        <v>42</v>
      </c>
    </row>
    <row r="61" spans="3:5" x14ac:dyDescent="0.35">
      <c r="C61" s="140" t="s">
        <v>43</v>
      </c>
      <c r="D61" s="140" t="s">
        <v>44</v>
      </c>
      <c r="E61" s="140" t="s">
        <v>45</v>
      </c>
    </row>
    <row r="62" spans="3:5" x14ac:dyDescent="0.35">
      <c r="C62" s="85">
        <v>0.5</v>
      </c>
      <c r="D62" s="85" t="s">
        <v>46</v>
      </c>
      <c r="E62" s="85">
        <v>2.5</v>
      </c>
    </row>
    <row r="63" spans="3:5" x14ac:dyDescent="0.35">
      <c r="C63" s="85">
        <v>1</v>
      </c>
      <c r="D63" s="85" t="s">
        <v>47</v>
      </c>
      <c r="E63" s="85">
        <v>12.5</v>
      </c>
    </row>
    <row r="64" spans="3:5" x14ac:dyDescent="0.35">
      <c r="C64" s="85">
        <v>2</v>
      </c>
      <c r="D64" s="85" t="s">
        <v>48</v>
      </c>
      <c r="E64" s="85">
        <v>30</v>
      </c>
    </row>
    <row r="65" spans="3:5" x14ac:dyDescent="0.35">
      <c r="C65" s="85">
        <v>3</v>
      </c>
      <c r="D65" s="85" t="s">
        <v>49</v>
      </c>
      <c r="E65" s="85">
        <v>50</v>
      </c>
    </row>
    <row r="66" spans="3:5" x14ac:dyDescent="0.35">
      <c r="C66" s="85">
        <v>4</v>
      </c>
      <c r="D66" s="85" t="s">
        <v>50</v>
      </c>
      <c r="E66" s="85">
        <v>70</v>
      </c>
    </row>
    <row r="67" spans="3:5" x14ac:dyDescent="0.35">
      <c r="C67" s="85">
        <v>5</v>
      </c>
      <c r="D67" s="85" t="s">
        <v>51</v>
      </c>
      <c r="E67" s="85">
        <v>90</v>
      </c>
    </row>
    <row r="69" spans="3:5" x14ac:dyDescent="0.35">
      <c r="C69" s="31" t="s">
        <v>52</v>
      </c>
    </row>
    <row r="71" spans="3:5" x14ac:dyDescent="0.35">
      <c r="C71" s="31" t="s">
        <v>53</v>
      </c>
    </row>
    <row r="72" spans="3:5" x14ac:dyDescent="0.35">
      <c r="C72" s="31" t="s">
        <v>54</v>
      </c>
    </row>
    <row r="74" spans="3:5" x14ac:dyDescent="0.35">
      <c r="C74" s="31" t="s">
        <v>55</v>
      </c>
    </row>
    <row r="75" spans="3:5" x14ac:dyDescent="0.35">
      <c r="C75" s="31" t="s">
        <v>56</v>
      </c>
    </row>
    <row r="77" spans="3:5" x14ac:dyDescent="0.35">
      <c r="C77" s="140" t="s">
        <v>57</v>
      </c>
      <c r="D77" s="140" t="s">
        <v>58</v>
      </c>
    </row>
    <row r="78" spans="3:5" x14ac:dyDescent="0.35">
      <c r="C78" s="85">
        <v>0.5</v>
      </c>
      <c r="D78" s="85">
        <v>2.5</v>
      </c>
    </row>
    <row r="79" spans="3:5" x14ac:dyDescent="0.35">
      <c r="C79" s="85">
        <v>1</v>
      </c>
      <c r="D79" s="85">
        <v>12.5</v>
      </c>
    </row>
    <row r="80" spans="3:5" x14ac:dyDescent="0.35">
      <c r="C80" s="85">
        <v>5</v>
      </c>
      <c r="D80" s="85">
        <v>90</v>
      </c>
    </row>
    <row r="81" spans="3:4" x14ac:dyDescent="0.35">
      <c r="C81" s="85">
        <v>4</v>
      </c>
      <c r="D81" s="85">
        <v>70</v>
      </c>
    </row>
    <row r="82" spans="3:4" x14ac:dyDescent="0.35">
      <c r="C82" s="85">
        <v>5</v>
      </c>
      <c r="D82" s="85">
        <v>90</v>
      </c>
    </row>
    <row r="83" spans="3:4" x14ac:dyDescent="0.35">
      <c r="C83" s="85">
        <v>3</v>
      </c>
      <c r="D83" s="85">
        <v>50</v>
      </c>
    </row>
    <row r="84" spans="3:4" x14ac:dyDescent="0.35">
      <c r="C84" s="85">
        <v>4</v>
      </c>
      <c r="D84" s="85">
        <v>70</v>
      </c>
    </row>
    <row r="85" spans="3:4" x14ac:dyDescent="0.35">
      <c r="C85" s="85">
        <v>2</v>
      </c>
      <c r="D85" s="85">
        <v>30</v>
      </c>
    </row>
    <row r="86" spans="3:4" x14ac:dyDescent="0.35">
      <c r="C86" s="85">
        <v>3</v>
      </c>
      <c r="D86" s="85">
        <v>50</v>
      </c>
    </row>
    <row r="87" spans="3:4" x14ac:dyDescent="0.35">
      <c r="C87" s="85">
        <v>1</v>
      </c>
      <c r="D87" s="85">
        <v>12.5</v>
      </c>
    </row>
    <row r="88" spans="3:4" x14ac:dyDescent="0.35">
      <c r="C88" s="85">
        <v>0.5</v>
      </c>
      <c r="D88" s="85">
        <v>2.5</v>
      </c>
    </row>
    <row r="89" spans="3:4" x14ac:dyDescent="0.35">
      <c r="C89" s="88"/>
      <c r="D89" s="88"/>
    </row>
    <row r="90" spans="3:4" x14ac:dyDescent="0.35">
      <c r="C90" s="89" t="s">
        <v>59</v>
      </c>
      <c r="D90" s="89" t="s">
        <v>60</v>
      </c>
    </row>
    <row r="91" spans="3:4" x14ac:dyDescent="0.35">
      <c r="C91" s="90" cm="1">
        <f t="array" ref="C91">Bryozoans(C78:C88)</f>
        <v>43.636363636363633</v>
      </c>
      <c r="D91" s="90">
        <f>AVERAGE(D78:D88)</f>
        <v>43.636363636363633</v>
      </c>
    </row>
    <row r="92" spans="3:4" x14ac:dyDescent="0.35">
      <c r="C92" s="86"/>
      <c r="D92" s="86"/>
    </row>
    <row r="93" spans="3:4" x14ac:dyDescent="0.35">
      <c r="C93" s="65" t="s">
        <v>61</v>
      </c>
      <c r="D93" s="86"/>
    </row>
    <row r="94" spans="3:4" x14ac:dyDescent="0.35">
      <c r="C94" s="31" t="s">
        <v>62</v>
      </c>
    </row>
    <row r="96" spans="3:4" x14ac:dyDescent="0.35">
      <c r="C96" s="140" t="s">
        <v>63</v>
      </c>
      <c r="D96" s="140" t="s">
        <v>64</v>
      </c>
    </row>
    <row r="97" spans="3:15" x14ac:dyDescent="0.35">
      <c r="C97" s="85">
        <v>0.5</v>
      </c>
      <c r="D97" s="85">
        <v>2.5</v>
      </c>
    </row>
    <row r="98" spans="3:15" x14ac:dyDescent="0.35">
      <c r="C98" s="85">
        <v>1</v>
      </c>
      <c r="D98" s="85">
        <v>12.5</v>
      </c>
    </row>
    <row r="99" spans="3:15" x14ac:dyDescent="0.35">
      <c r="C99" s="85">
        <v>5</v>
      </c>
      <c r="D99" s="85">
        <v>90</v>
      </c>
    </row>
    <row r="100" spans="3:15" x14ac:dyDescent="0.35">
      <c r="C100" s="85">
        <v>4</v>
      </c>
      <c r="D100" s="85">
        <v>70</v>
      </c>
    </row>
    <row r="101" spans="3:15" x14ac:dyDescent="0.35">
      <c r="C101" s="85">
        <v>5</v>
      </c>
      <c r="D101" s="85">
        <v>90</v>
      </c>
    </row>
    <row r="102" spans="3:15" x14ac:dyDescent="0.35">
      <c r="C102" s="85">
        <v>3</v>
      </c>
      <c r="D102" s="85">
        <v>50</v>
      </c>
    </row>
    <row r="103" spans="3:15" x14ac:dyDescent="0.35">
      <c r="C103" s="85">
        <v>4</v>
      </c>
      <c r="D103" s="85">
        <v>70</v>
      </c>
    </row>
    <row r="104" spans="3:15" x14ac:dyDescent="0.35">
      <c r="C104" s="85">
        <v>2</v>
      </c>
      <c r="D104" s="85">
        <v>30</v>
      </c>
    </row>
    <row r="105" spans="3:15" x14ac:dyDescent="0.35">
      <c r="C105" s="85">
        <v>3</v>
      </c>
      <c r="D105" s="85">
        <v>50</v>
      </c>
    </row>
    <row r="106" spans="3:15" x14ac:dyDescent="0.35">
      <c r="C106" s="85">
        <v>1</v>
      </c>
      <c r="D106" s="85">
        <v>12.5</v>
      </c>
    </row>
    <row r="107" spans="3:15" x14ac:dyDescent="0.35">
      <c r="C107" s="85">
        <v>0.5</v>
      </c>
      <c r="D107" s="85">
        <v>2.5</v>
      </c>
    </row>
    <row r="108" spans="3:15" x14ac:dyDescent="0.35">
      <c r="C108" s="88"/>
      <c r="D108" s="88"/>
    </row>
    <row r="109" spans="3:15" x14ac:dyDescent="0.35">
      <c r="C109" s="89" t="s">
        <v>40</v>
      </c>
      <c r="D109" s="89" t="s">
        <v>40</v>
      </c>
    </row>
    <row r="110" spans="3:15" x14ac:dyDescent="0.35">
      <c r="C110" s="90" cm="1">
        <f t="array" ref="C110">BryozoansSD(C97:C107)</f>
        <v>32.02207399811099</v>
      </c>
      <c r="D110" s="90">
        <f>_xlfn.STDEV.P(D97:D107)</f>
        <v>32.02207399811099</v>
      </c>
    </row>
    <row r="112" spans="3:15" x14ac:dyDescent="0.35">
      <c r="C112" s="87" t="s">
        <v>65</v>
      </c>
      <c r="D112" s="87"/>
      <c r="E112" s="87"/>
      <c r="F112" s="87"/>
      <c r="G112" s="87"/>
      <c r="H112" s="87"/>
      <c r="I112" s="87"/>
      <c r="J112" s="87"/>
      <c r="K112" s="87"/>
      <c r="L112" s="87"/>
      <c r="M112" s="87"/>
      <c r="N112" s="87"/>
      <c r="O112" s="87"/>
    </row>
  </sheetData>
  <mergeCells count="2">
    <mergeCell ref="C27:E27"/>
    <mergeCell ref="C39:E39"/>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2EB6C8-6816-431B-9428-92B245A36FEF}">
  <sheetPr codeName="Sheet2">
    <tabColor theme="8" tint="0.79998168889431442"/>
  </sheetPr>
  <dimension ref="A1:J40"/>
  <sheetViews>
    <sheetView topLeftCell="E1" zoomScale="80" zoomScaleNormal="80" workbookViewId="0">
      <selection activeCell="C3" sqref="C3:D3"/>
    </sheetView>
  </sheetViews>
  <sheetFormatPr defaultRowHeight="14.5" x14ac:dyDescent="0.35"/>
  <cols>
    <col min="1" max="1" width="11.453125" customWidth="1"/>
    <col min="2" max="2" width="12.1796875" bestFit="1" customWidth="1"/>
    <col min="3" max="3" width="10.1796875" customWidth="1"/>
    <col min="4" max="4" width="27" customWidth="1"/>
    <col min="5" max="5" width="21.1796875" customWidth="1"/>
    <col min="6" max="6" width="9.1796875" customWidth="1"/>
    <col min="7" max="7" width="20.81640625" customWidth="1"/>
    <col min="8" max="8" width="12.1796875" bestFit="1" customWidth="1"/>
    <col min="9" max="9" width="17.81640625" bestFit="1" customWidth="1"/>
    <col min="10" max="10" width="10.81640625" customWidth="1"/>
  </cols>
  <sheetData>
    <row r="1" spans="1:10" ht="15" thickBot="1" x14ac:dyDescent="0.4">
      <c r="A1" s="156" t="s">
        <v>66</v>
      </c>
      <c r="B1" s="157"/>
      <c r="C1" s="157"/>
      <c r="D1" s="157"/>
      <c r="E1" s="157"/>
      <c r="F1" s="157"/>
      <c r="G1" s="157"/>
      <c r="H1" s="157"/>
      <c r="I1" s="157"/>
      <c r="J1" s="158"/>
    </row>
    <row r="2" spans="1:10" x14ac:dyDescent="0.35">
      <c r="A2" s="162" t="s">
        <v>67</v>
      </c>
      <c r="B2" s="163"/>
      <c r="C2" s="170" t="s">
        <v>68</v>
      </c>
      <c r="D2" s="171"/>
      <c r="E2" s="143" t="s">
        <v>69</v>
      </c>
      <c r="F2" s="61"/>
      <c r="G2" s="47" t="s">
        <v>70</v>
      </c>
      <c r="H2" s="62"/>
      <c r="I2" s="63" t="s">
        <v>71</v>
      </c>
      <c r="J2" s="1"/>
    </row>
    <row r="3" spans="1:10" x14ac:dyDescent="0.35">
      <c r="A3" s="164" t="s">
        <v>72</v>
      </c>
      <c r="B3" s="165"/>
      <c r="C3" s="151" t="s">
        <v>174</v>
      </c>
      <c r="D3" s="152"/>
      <c r="E3" s="40" t="s">
        <v>73</v>
      </c>
      <c r="F3" s="12"/>
      <c r="G3" s="20" t="s">
        <v>74</v>
      </c>
      <c r="H3" s="20" t="s">
        <v>75</v>
      </c>
      <c r="I3" s="20" t="s">
        <v>76</v>
      </c>
      <c r="J3" s="22" t="s">
        <v>77</v>
      </c>
    </row>
    <row r="4" spans="1:10" x14ac:dyDescent="0.35">
      <c r="A4" s="166" t="s">
        <v>78</v>
      </c>
      <c r="B4" s="172"/>
      <c r="C4" s="151">
        <v>2019</v>
      </c>
      <c r="D4" s="173"/>
      <c r="E4" s="40"/>
      <c r="F4" s="12"/>
      <c r="G4" s="20"/>
      <c r="H4" s="20"/>
      <c r="I4" s="20"/>
      <c r="J4" s="22"/>
    </row>
    <row r="5" spans="1:10" x14ac:dyDescent="0.35">
      <c r="A5" s="166" t="s">
        <v>79</v>
      </c>
      <c r="B5" s="167"/>
      <c r="C5" s="153">
        <v>43674</v>
      </c>
      <c r="D5" s="152"/>
      <c r="E5" s="141" t="s">
        <v>80</v>
      </c>
      <c r="F5" s="10"/>
      <c r="G5" s="20" t="s">
        <v>81</v>
      </c>
      <c r="H5" s="3"/>
      <c r="I5" s="3"/>
      <c r="J5" s="4"/>
    </row>
    <row r="6" spans="1:10" ht="15" thickBot="1" x14ac:dyDescent="0.4">
      <c r="A6" s="168" t="s">
        <v>82</v>
      </c>
      <c r="B6" s="169"/>
      <c r="C6" s="154" t="s">
        <v>83</v>
      </c>
      <c r="D6" s="155"/>
      <c r="E6" s="144"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0.5</v>
      </c>
      <c r="C16" s="7">
        <v>5</v>
      </c>
      <c r="D16" t="s">
        <v>113</v>
      </c>
      <c r="E16" s="54" cm="1">
        <f t="array" ref="E16">AverageStipeDiameter(D16)</f>
        <v>59.1</v>
      </c>
      <c r="F16" s="29">
        <v>21</v>
      </c>
      <c r="G16" s="7">
        <v>0.5</v>
      </c>
      <c r="H16" s="7">
        <f ca="1">RANDBETWEEN(1,25)</f>
        <v>19</v>
      </c>
      <c r="I16" t="s">
        <v>113</v>
      </c>
      <c r="J16" s="92" cm="1">
        <f t="array" ref="J16">AverageStipeDiameter(I16)</f>
        <v>59.1</v>
      </c>
    </row>
    <row r="17" spans="1:10" x14ac:dyDescent="0.35">
      <c r="A17" s="27">
        <v>2</v>
      </c>
      <c r="B17" s="7">
        <v>0.5</v>
      </c>
      <c r="C17" s="7">
        <v>15</v>
      </c>
      <c r="D17" t="s">
        <v>114</v>
      </c>
      <c r="E17" s="54" cm="1">
        <f t="array" ref="E17">AverageStipeDiameter(D17)</f>
        <v>53.3</v>
      </c>
      <c r="F17" s="29">
        <v>22</v>
      </c>
      <c r="G17" s="7">
        <v>0.5</v>
      </c>
      <c r="H17" s="7">
        <f t="shared" ref="H17:H35" ca="1" si="0">RANDBETWEEN(1,25)</f>
        <v>2</v>
      </c>
      <c r="I17" s="43" t="str">
        <f ca="1">_xlfn.TEXTJOIN(", ", TRUE, RANDBETWEEN(20, 85), RANDBETWEEN(20, 85), RANDBETWEEN(20, 85), RANDBETWEEN(20, 85), RANDBETWEEN(20, 85), RANDBETWEEN(20, 85), RANDBETWEEN(20, 85), RANDBETWEEN(20, 85), RANDBETWEEN(20, 85), RANDBETWEEN(20, 85))</f>
        <v>61, 52, 82, 34, 60, 42, 82, 42, 83, 24</v>
      </c>
      <c r="J17" s="92" cm="1">
        <f t="array" aca="1" ref="J17" ca="1">AverageStipeDiameter(I17)</f>
        <v>56.2</v>
      </c>
    </row>
    <row r="18" spans="1:10" x14ac:dyDescent="0.35">
      <c r="A18" s="27">
        <v>3</v>
      </c>
      <c r="B18" s="7">
        <v>1</v>
      </c>
      <c r="C18" s="7">
        <v>10</v>
      </c>
      <c r="D18" t="s">
        <v>115</v>
      </c>
      <c r="E18" s="54" cm="1">
        <f t="array" ref="E18">AverageStipeDiameter(D18)</f>
        <v>58</v>
      </c>
      <c r="F18" s="29">
        <v>23</v>
      </c>
      <c r="G18" s="7">
        <v>1</v>
      </c>
      <c r="H18" s="7">
        <f t="shared" ca="1" si="0"/>
        <v>16</v>
      </c>
      <c r="I18" s="43" t="str">
        <f t="shared" ref="I18:I35" ca="1" si="1">_xlfn.TEXTJOIN(", ", TRUE, RANDBETWEEN(20, 85), RANDBETWEEN(20, 85), RANDBETWEEN(20, 85), RANDBETWEEN(20, 85), RANDBETWEEN(20, 85), RANDBETWEEN(20, 85), RANDBETWEEN(20, 85), RANDBETWEEN(20, 85), RANDBETWEEN(20, 85), RANDBETWEEN(20, 85))</f>
        <v>84, 65, 78, 85, 40, 21, 77, 73, 80, 63</v>
      </c>
      <c r="J18" s="92" cm="1">
        <f t="array" aca="1" ref="J18" ca="1">AverageStipeDiameter(I18)</f>
        <v>66.599999999999994</v>
      </c>
    </row>
    <row r="19" spans="1:10" x14ac:dyDescent="0.35">
      <c r="A19" s="27">
        <v>4</v>
      </c>
      <c r="B19" s="7">
        <v>3</v>
      </c>
      <c r="C19" s="7">
        <v>3</v>
      </c>
      <c r="D19" t="s">
        <v>116</v>
      </c>
      <c r="E19" s="54" cm="1">
        <f t="array" ref="E19">AverageStipeDiameter(D19)</f>
        <v>45</v>
      </c>
      <c r="F19" s="29">
        <v>24</v>
      </c>
      <c r="G19" s="7">
        <v>3</v>
      </c>
      <c r="H19" s="7">
        <f t="shared" ca="1" si="0"/>
        <v>3</v>
      </c>
      <c r="I19" s="43" t="str">
        <f t="shared" ca="1" si="1"/>
        <v>72, 69, 81, 69, 27, 26, 23, 65, 76, 20</v>
      </c>
      <c r="J19" s="92" cm="1">
        <f t="array" aca="1" ref="J19" ca="1">AverageStipeDiameter(I19)</f>
        <v>52.8</v>
      </c>
    </row>
    <row r="20" spans="1:10" x14ac:dyDescent="0.35">
      <c r="A20" s="27">
        <v>5</v>
      </c>
      <c r="B20" s="7">
        <v>5</v>
      </c>
      <c r="C20" s="7">
        <v>8</v>
      </c>
      <c r="D20" t="s">
        <v>117</v>
      </c>
      <c r="E20" s="54" cm="1">
        <f t="array" ref="E20">AverageStipeDiameter(D20)</f>
        <v>59.1</v>
      </c>
      <c r="F20" s="29">
        <v>25</v>
      </c>
      <c r="G20" s="7">
        <v>5</v>
      </c>
      <c r="H20" s="7">
        <f t="shared" ca="1" si="0"/>
        <v>14</v>
      </c>
      <c r="I20" s="43" t="str">
        <f t="shared" ca="1" si="1"/>
        <v>49, 42, 66, 47, 61, 20, 39, 81, 62, 31</v>
      </c>
      <c r="J20" s="92" cm="1">
        <f t="array" aca="1" ref="J20" ca="1">AverageStipeDiameter(I20)</f>
        <v>49.8</v>
      </c>
    </row>
    <row r="21" spans="1:10" x14ac:dyDescent="0.35">
      <c r="A21" s="27">
        <v>6</v>
      </c>
      <c r="B21" s="7">
        <v>4</v>
      </c>
      <c r="C21" s="7">
        <v>4</v>
      </c>
      <c r="D21" t="s">
        <v>118</v>
      </c>
      <c r="E21" s="54" cm="1">
        <f t="array" ref="E21">AverageStipeDiameter(D21)</f>
        <v>59.8</v>
      </c>
      <c r="F21" s="29">
        <v>26</v>
      </c>
      <c r="G21" s="7">
        <v>4</v>
      </c>
      <c r="H21" s="7">
        <f t="shared" ca="1" si="0"/>
        <v>16</v>
      </c>
      <c r="I21" s="43" t="str">
        <f t="shared" ca="1" si="1"/>
        <v>29, 82, 81, 80, 44, 30, 33, 56, 23, 49</v>
      </c>
      <c r="J21" s="92" cm="1">
        <f t="array" aca="1" ref="J21" ca="1">AverageStipeDiameter(I21)</f>
        <v>50.7</v>
      </c>
    </row>
    <row r="22" spans="1:10" x14ac:dyDescent="0.35">
      <c r="A22" s="27">
        <v>7</v>
      </c>
      <c r="B22" s="7">
        <v>0.5</v>
      </c>
      <c r="C22" s="7">
        <v>10</v>
      </c>
      <c r="D22" t="s">
        <v>119</v>
      </c>
      <c r="E22" s="54" cm="1">
        <f t="array" ref="E22">AverageStipeDiameter(D22)</f>
        <v>44.1</v>
      </c>
      <c r="F22" s="29">
        <v>27</v>
      </c>
      <c r="G22" s="7">
        <v>0.5</v>
      </c>
      <c r="H22" s="7">
        <f t="shared" ca="1" si="0"/>
        <v>17</v>
      </c>
      <c r="I22" s="43" t="str">
        <f t="shared" ca="1" si="1"/>
        <v>55, 55, 29, 46, 64, 79, 55, 29, 21, 44</v>
      </c>
      <c r="J22" s="92" cm="1">
        <f t="array" aca="1" ref="J22" ca="1">AverageStipeDiameter(I22)</f>
        <v>47.7</v>
      </c>
    </row>
    <row r="23" spans="1:10" x14ac:dyDescent="0.35">
      <c r="A23" s="27">
        <v>8</v>
      </c>
      <c r="B23" s="7">
        <v>2</v>
      </c>
      <c r="C23" s="7">
        <v>13</v>
      </c>
      <c r="D23" t="s">
        <v>120</v>
      </c>
      <c r="E23" s="54" cm="1">
        <f t="array" ref="E23">AverageStipeDiameter(D23)</f>
        <v>46.9</v>
      </c>
      <c r="F23" s="29">
        <v>28</v>
      </c>
      <c r="G23" s="7">
        <v>2</v>
      </c>
      <c r="H23" s="7">
        <f t="shared" ca="1" si="0"/>
        <v>15</v>
      </c>
      <c r="I23" s="43" t="str">
        <f t="shared" ca="1" si="1"/>
        <v>61, 78, 77, 28, 26, 36, 37, 85, 85, 58</v>
      </c>
      <c r="J23" s="92" cm="1">
        <f t="array" aca="1" ref="J23" ca="1">AverageStipeDiameter(I23)</f>
        <v>57.1</v>
      </c>
    </row>
    <row r="24" spans="1:10" x14ac:dyDescent="0.35">
      <c r="A24" s="27">
        <v>9</v>
      </c>
      <c r="B24" s="7">
        <v>2</v>
      </c>
      <c r="C24" s="7">
        <v>19</v>
      </c>
      <c r="D24" t="s">
        <v>121</v>
      </c>
      <c r="E24" s="54" cm="1">
        <f t="array" ref="E24">AverageStipeDiameter(D24)</f>
        <v>50.5</v>
      </c>
      <c r="F24" s="29">
        <v>29</v>
      </c>
      <c r="G24" s="7">
        <v>2</v>
      </c>
      <c r="H24" s="7">
        <f t="shared" ca="1" si="0"/>
        <v>5</v>
      </c>
      <c r="I24" s="43" t="str">
        <f t="shared" ca="1" si="1"/>
        <v>53, 31, 50, 75, 26, 42, 72, 57, 57, 69</v>
      </c>
      <c r="J24" s="92" cm="1">
        <f t="array" aca="1" ref="J24" ca="1">AverageStipeDiameter(I24)</f>
        <v>53.2</v>
      </c>
    </row>
    <row r="25" spans="1:10" x14ac:dyDescent="0.35">
      <c r="A25" s="27">
        <v>10</v>
      </c>
      <c r="B25" s="7">
        <v>4</v>
      </c>
      <c r="C25" s="7">
        <v>8</v>
      </c>
      <c r="D25" t="s">
        <v>122</v>
      </c>
      <c r="E25" s="54" cm="1">
        <f t="array" ref="E25">AverageStipeDiameter(D25)</f>
        <v>50.3</v>
      </c>
      <c r="F25" s="29">
        <v>30</v>
      </c>
      <c r="G25" s="7">
        <v>4</v>
      </c>
      <c r="H25" s="7">
        <f t="shared" ca="1" si="0"/>
        <v>12</v>
      </c>
      <c r="I25" s="43" t="str">
        <f t="shared" ca="1" si="1"/>
        <v>21, 24, 44, 32, 48, 81, 79, 77, 69, 62</v>
      </c>
      <c r="J25" s="92" cm="1">
        <f t="array" aca="1" ref="J25" ca="1">AverageStipeDiameter(I25)</f>
        <v>53.7</v>
      </c>
    </row>
    <row r="26" spans="1:10" x14ac:dyDescent="0.35">
      <c r="A26" s="27">
        <v>11</v>
      </c>
      <c r="B26" s="7">
        <v>5</v>
      </c>
      <c r="C26" s="7">
        <v>20</v>
      </c>
      <c r="D26" t="s">
        <v>123</v>
      </c>
      <c r="E26" s="54" cm="1">
        <f t="array" ref="E26">AverageStipeDiameter(D26)</f>
        <v>52.6</v>
      </c>
      <c r="F26" s="29">
        <v>31</v>
      </c>
      <c r="G26" s="7">
        <v>5</v>
      </c>
      <c r="H26" s="7">
        <f t="shared" ca="1" si="0"/>
        <v>10</v>
      </c>
      <c r="I26" s="43" t="str">
        <f t="shared" ca="1" si="1"/>
        <v>38, 53, 67, 68, 31, 50, 48, 40, 45, 51</v>
      </c>
      <c r="J26" s="92" cm="1">
        <f t="array" aca="1" ref="J26" ca="1">AverageStipeDiameter(I26)</f>
        <v>49.1</v>
      </c>
    </row>
    <row r="27" spans="1:10" x14ac:dyDescent="0.35">
      <c r="A27" s="27">
        <v>12</v>
      </c>
      <c r="B27" s="7">
        <v>2</v>
      </c>
      <c r="C27" s="7">
        <v>19</v>
      </c>
      <c r="D27" t="s">
        <v>124</v>
      </c>
      <c r="E27" s="54" cm="1">
        <f t="array" ref="E27">AverageStipeDiameter(D27)</f>
        <v>57.2</v>
      </c>
      <c r="F27" s="29">
        <v>32</v>
      </c>
      <c r="G27" s="7">
        <v>2</v>
      </c>
      <c r="H27" s="7">
        <f t="shared" ca="1" si="0"/>
        <v>23</v>
      </c>
      <c r="I27" s="43" t="str">
        <f t="shared" ca="1" si="1"/>
        <v>42, 61, 24, 56, 26, 61, 82, 46, 52, 40</v>
      </c>
      <c r="J27" s="92" cm="1">
        <f t="array" aca="1" ref="J27" ca="1">AverageStipeDiameter(I27)</f>
        <v>49</v>
      </c>
    </row>
    <row r="28" spans="1:10" x14ac:dyDescent="0.35">
      <c r="A28" s="27">
        <v>13</v>
      </c>
      <c r="B28" s="7">
        <v>2</v>
      </c>
      <c r="C28" s="7">
        <v>8</v>
      </c>
      <c r="D28" t="s">
        <v>125</v>
      </c>
      <c r="E28" s="54" cm="1">
        <f t="array" ref="E28">AverageStipeDiameter(D28)</f>
        <v>59.9</v>
      </c>
      <c r="F28" s="29">
        <v>33</v>
      </c>
      <c r="G28" s="7">
        <v>2</v>
      </c>
      <c r="H28" s="7">
        <f t="shared" ca="1" si="0"/>
        <v>8</v>
      </c>
      <c r="I28" s="43" t="str">
        <f t="shared" ca="1" si="1"/>
        <v>35, 58, 26, 46, 44, 47, 64, 62, 40, 38</v>
      </c>
      <c r="J28" s="92" cm="1">
        <f t="array" aca="1" ref="J28" ca="1">AverageStipeDiameter(I28)</f>
        <v>46</v>
      </c>
    </row>
    <row r="29" spans="1:10" x14ac:dyDescent="0.35">
      <c r="A29" s="27">
        <v>14</v>
      </c>
      <c r="B29" s="7">
        <v>1</v>
      </c>
      <c r="C29" s="7">
        <f ca="1">RANDBETWEEN(1,25)</f>
        <v>15</v>
      </c>
      <c r="D29" t="s">
        <v>126</v>
      </c>
      <c r="E29" s="54" cm="1">
        <f t="array" ref="E29">AverageStipeDiameter(D29)</f>
        <v>57.3</v>
      </c>
      <c r="F29" s="29">
        <v>34</v>
      </c>
      <c r="G29" s="7">
        <v>1</v>
      </c>
      <c r="H29" s="7">
        <f t="shared" ca="1" si="0"/>
        <v>5</v>
      </c>
      <c r="I29" s="43" t="str">
        <f t="shared" ca="1" si="1"/>
        <v>53, 54, 70, 31, 22, 54, 71, 81, 21, 23</v>
      </c>
      <c r="J29" s="92" cm="1">
        <f t="array" aca="1" ref="J29" ca="1">AverageStipeDiameter(I29)</f>
        <v>48</v>
      </c>
    </row>
    <row r="30" spans="1:10" x14ac:dyDescent="0.35">
      <c r="A30" s="27">
        <v>15</v>
      </c>
      <c r="B30" s="7">
        <v>1</v>
      </c>
      <c r="C30" s="7">
        <f t="shared" ref="C30:C35" ca="1" si="2">RANDBETWEEN(1,25)</f>
        <v>13</v>
      </c>
      <c r="D30" t="s">
        <v>127</v>
      </c>
      <c r="E30" s="54" cm="1">
        <f t="array" ref="E30">AverageStipeDiameter(D30)</f>
        <v>60</v>
      </c>
      <c r="F30" s="29">
        <v>35</v>
      </c>
      <c r="G30" s="7">
        <v>1</v>
      </c>
      <c r="H30" s="7">
        <f t="shared" ca="1" si="0"/>
        <v>12</v>
      </c>
      <c r="I30" s="43" t="str">
        <f t="shared" ca="1" si="1"/>
        <v>61, 85, 60, 50, 64, 67, 79, 29, 34, 52</v>
      </c>
      <c r="J30" s="92" cm="1">
        <f t="array" aca="1" ref="J30" ca="1">AverageStipeDiameter(I30)</f>
        <v>58.1</v>
      </c>
    </row>
    <row r="31" spans="1:10" x14ac:dyDescent="0.35">
      <c r="A31" s="27">
        <v>16</v>
      </c>
      <c r="B31" s="7">
        <v>0</v>
      </c>
      <c r="C31" s="7">
        <f t="shared" ca="1" si="2"/>
        <v>16</v>
      </c>
      <c r="D31" t="s">
        <v>128</v>
      </c>
      <c r="E31" s="54" cm="1">
        <f t="array" ref="E31">AverageStipeDiameter(D31)</f>
        <v>57.4</v>
      </c>
      <c r="F31" s="29">
        <v>36</v>
      </c>
      <c r="G31" s="7">
        <v>0</v>
      </c>
      <c r="H31" s="7">
        <f t="shared" ca="1" si="0"/>
        <v>2</v>
      </c>
      <c r="I31" s="43" t="str">
        <f t="shared" ca="1" si="1"/>
        <v>71, 54, 56, 75, 84, 66, 66, 85, 62, 63</v>
      </c>
      <c r="J31" s="92" cm="1">
        <f t="array" aca="1" ref="J31" ca="1">AverageStipeDiameter(I31)</f>
        <v>68.2</v>
      </c>
    </row>
    <row r="32" spans="1:10" x14ac:dyDescent="0.35">
      <c r="A32" s="27">
        <v>17</v>
      </c>
      <c r="B32" s="7">
        <v>0</v>
      </c>
      <c r="C32" s="7">
        <f t="shared" ca="1" si="2"/>
        <v>25</v>
      </c>
      <c r="D32" t="s">
        <v>129</v>
      </c>
      <c r="E32" s="54" cm="1">
        <f t="array" ref="E32">AverageStipeDiameter(D32)</f>
        <v>60.1</v>
      </c>
      <c r="F32" s="29">
        <v>37</v>
      </c>
      <c r="G32" s="7">
        <v>0</v>
      </c>
      <c r="H32" s="7">
        <f t="shared" ca="1" si="0"/>
        <v>20</v>
      </c>
      <c r="I32" s="43" t="str">
        <f t="shared" ca="1" si="1"/>
        <v>70, 20, 51, 25, 44, 43, 84, 55, 63, 49</v>
      </c>
      <c r="J32" s="92" cm="1">
        <f t="array" aca="1" ref="J32" ca="1">AverageStipeDiameter(I32)</f>
        <v>50.4</v>
      </c>
    </row>
    <row r="33" spans="1:10" x14ac:dyDescent="0.35">
      <c r="A33" s="27">
        <v>18</v>
      </c>
      <c r="B33" s="7">
        <v>0.5</v>
      </c>
      <c r="C33" s="7">
        <f t="shared" ca="1" si="2"/>
        <v>5</v>
      </c>
      <c r="D33" t="s">
        <v>130</v>
      </c>
      <c r="E33" s="54" cm="1">
        <f t="array" ref="E33">AverageStipeDiameter(D33)</f>
        <v>57.5</v>
      </c>
      <c r="F33" s="29">
        <v>38</v>
      </c>
      <c r="G33" s="7">
        <v>0.5</v>
      </c>
      <c r="H33" s="7">
        <f t="shared" ca="1" si="0"/>
        <v>1</v>
      </c>
      <c r="I33" s="43" t="str">
        <f t="shared" ca="1" si="1"/>
        <v>36, 42, 41, 77, 45, 74, 23, 27, 29, 61</v>
      </c>
      <c r="J33" s="92" cm="1">
        <f t="array" aca="1" ref="J33" ca="1">AverageStipeDiameter(I33)</f>
        <v>45.5</v>
      </c>
    </row>
    <row r="34" spans="1:10" x14ac:dyDescent="0.35">
      <c r="A34" s="27">
        <v>19</v>
      </c>
      <c r="B34" s="7">
        <v>1</v>
      </c>
      <c r="C34" s="7">
        <f t="shared" ca="1" si="2"/>
        <v>11</v>
      </c>
      <c r="D34" t="s">
        <v>131</v>
      </c>
      <c r="E34" s="54" cm="1">
        <f t="array" ref="E34">AverageStipeDiameter(D34)</f>
        <v>60.2</v>
      </c>
      <c r="F34" s="29">
        <v>39</v>
      </c>
      <c r="G34" s="7">
        <v>1</v>
      </c>
      <c r="H34" s="7">
        <f t="shared" ca="1" si="0"/>
        <v>3</v>
      </c>
      <c r="I34" s="43" t="str">
        <f t="shared" ca="1" si="1"/>
        <v>32, 37, 26, 49, 47, 22, 74, 32, 56, 63</v>
      </c>
      <c r="J34" s="92" cm="1">
        <f t="array" aca="1" ref="J34" ca="1">AverageStipeDiameter(I34)</f>
        <v>43.8</v>
      </c>
    </row>
    <row r="35" spans="1:10" ht="15" thickBot="1" x14ac:dyDescent="0.4">
      <c r="A35" s="28">
        <v>20</v>
      </c>
      <c r="B35" s="8">
        <v>2</v>
      </c>
      <c r="C35" s="7">
        <f t="shared" ca="1" si="2"/>
        <v>5</v>
      </c>
      <c r="D35" t="s">
        <v>132</v>
      </c>
      <c r="E35" s="93" cm="1">
        <f t="array" ref="E35">AverageStipeDiameter(D35)</f>
        <v>57.6</v>
      </c>
      <c r="F35" s="30">
        <v>40</v>
      </c>
      <c r="G35" s="8">
        <v>2</v>
      </c>
      <c r="H35" s="7">
        <f t="shared" ca="1" si="0"/>
        <v>3</v>
      </c>
      <c r="I35" s="43" t="str">
        <f t="shared" ca="1" si="1"/>
        <v>26, 78, 77, 68, 60, 57, 29, 32, 85, 31</v>
      </c>
      <c r="J35" s="94" cm="1">
        <f t="array" aca="1" ref="J35" ca="1">AverageStipeDiameter(I35)</f>
        <v>54.3</v>
      </c>
    </row>
    <row r="36" spans="1:10" ht="17" thickBot="1" x14ac:dyDescent="0.4">
      <c r="A36" s="188" t="s">
        <v>133</v>
      </c>
      <c r="B36" s="189"/>
      <c r="C36" s="80">
        <v>700</v>
      </c>
    </row>
    <row r="37" spans="1:10" ht="17" thickBot="1" x14ac:dyDescent="0.4">
      <c r="A37" s="186" t="s">
        <v>134</v>
      </c>
      <c r="B37" s="187"/>
      <c r="C37" s="81">
        <v>2000</v>
      </c>
    </row>
    <row r="38" spans="1:10" ht="15" thickBot="1" x14ac:dyDescent="0.4">
      <c r="A38" s="182" t="s">
        <v>135</v>
      </c>
      <c r="B38" s="183"/>
      <c r="C38" s="78" cm="1">
        <f t="array" ref="C38">Bryozoans(B16:B35,G16:G35)</f>
        <v>32.222222222222221</v>
      </c>
    </row>
    <row r="39" spans="1:10" ht="15" thickBot="1" x14ac:dyDescent="0.4">
      <c r="A39" s="184" t="s">
        <v>136</v>
      </c>
      <c r="B39" s="185"/>
      <c r="C39" s="79" cm="1">
        <f t="array" aca="1" ref="C39" ca="1">AverageCSVcols(D16:D35,I16:I35)</f>
        <v>54.13</v>
      </c>
    </row>
    <row r="40" spans="1:10" ht="15" thickBot="1" x14ac:dyDescent="0.4">
      <c r="A40" s="186" t="s">
        <v>137</v>
      </c>
      <c r="B40" s="187"/>
      <c r="C40" s="77">
        <f ca="1">AVERAGE(C16:C35,H16:H35)</f>
        <v>10.95</v>
      </c>
    </row>
  </sheetData>
  <mergeCells count="24">
    <mergeCell ref="A38:B38"/>
    <mergeCell ref="A39:B39"/>
    <mergeCell ref="A40:B40"/>
    <mergeCell ref="A36:B36"/>
    <mergeCell ref="A37:B37"/>
    <mergeCell ref="A14:J14"/>
    <mergeCell ref="G8:J8"/>
    <mergeCell ref="I9:J9"/>
    <mergeCell ref="I10:J10"/>
    <mergeCell ref="I11:J11"/>
    <mergeCell ref="I12:J12"/>
    <mergeCell ref="H13:J13"/>
    <mergeCell ref="C3:D3"/>
    <mergeCell ref="C5:D5"/>
    <mergeCell ref="C6:D6"/>
    <mergeCell ref="A1:J1"/>
    <mergeCell ref="A7:F7"/>
    <mergeCell ref="A2:B2"/>
    <mergeCell ref="A3:B3"/>
    <mergeCell ref="A5:B5"/>
    <mergeCell ref="A6:B6"/>
    <mergeCell ref="C2:D2"/>
    <mergeCell ref="A4:B4"/>
    <mergeCell ref="C4:D4"/>
  </mergeCells>
  <phoneticPr fontId="27"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941FAA-05FC-4CDB-B285-24F5ABB828EE}">
  <sheetPr codeName="Sheet7">
    <tabColor theme="8" tint="0.59999389629810485"/>
  </sheetPr>
  <dimension ref="A1:J40"/>
  <sheetViews>
    <sheetView zoomScale="80" zoomScaleNormal="80" workbookViewId="0">
      <selection activeCell="C3" sqref="C3:D3"/>
    </sheetView>
  </sheetViews>
  <sheetFormatPr defaultRowHeight="14.5" x14ac:dyDescent="0.35"/>
  <cols>
    <col min="1" max="1" width="12.1796875" customWidth="1"/>
    <col min="2" max="2" width="12.1796875" bestFit="1" customWidth="1"/>
    <col min="3" max="3" width="10.1796875" customWidth="1"/>
    <col min="4" max="4" width="27" customWidth="1"/>
    <col min="5" max="5" width="21.1796875" customWidth="1"/>
    <col min="6" max="6" width="9.1796875" customWidth="1"/>
    <col min="7" max="7" width="20.81640625" customWidth="1"/>
    <col min="8" max="8" width="12.1796875" bestFit="1" customWidth="1"/>
    <col min="9" max="9" width="17.81640625" bestFit="1" customWidth="1"/>
    <col min="10" max="10" width="10.81640625" customWidth="1"/>
  </cols>
  <sheetData>
    <row r="1" spans="1:10" ht="15" thickBot="1" x14ac:dyDescent="0.4">
      <c r="A1" s="191" t="s">
        <v>66</v>
      </c>
      <c r="B1" s="192"/>
      <c r="C1" s="157"/>
      <c r="D1" s="157"/>
      <c r="E1" s="192"/>
      <c r="F1" s="192"/>
      <c r="G1" s="192"/>
      <c r="H1" s="192"/>
      <c r="I1" s="192"/>
      <c r="J1" s="193"/>
    </row>
    <row r="2" spans="1:10" x14ac:dyDescent="0.35">
      <c r="A2" s="194" t="s">
        <v>67</v>
      </c>
      <c r="B2" s="195"/>
      <c r="C2" s="170" t="s">
        <v>138</v>
      </c>
      <c r="D2" s="196"/>
      <c r="E2" s="39" t="s">
        <v>69</v>
      </c>
      <c r="F2" s="9"/>
      <c r="G2" s="18" t="s">
        <v>70</v>
      </c>
      <c r="H2" s="17"/>
      <c r="I2" s="19" t="s">
        <v>71</v>
      </c>
      <c r="J2" s="16"/>
    </row>
    <row r="3" spans="1:10" x14ac:dyDescent="0.35">
      <c r="A3" s="166" t="s">
        <v>72</v>
      </c>
      <c r="B3" s="172"/>
      <c r="C3" s="151" t="s">
        <v>175</v>
      </c>
      <c r="D3" s="152"/>
      <c r="E3" s="40" t="s">
        <v>73</v>
      </c>
      <c r="F3" s="12"/>
      <c r="G3" s="20" t="s">
        <v>74</v>
      </c>
      <c r="H3" s="20" t="s">
        <v>75</v>
      </c>
      <c r="I3" s="20" t="s">
        <v>76</v>
      </c>
      <c r="J3" s="22" t="s">
        <v>77</v>
      </c>
    </row>
    <row r="4" spans="1:10" x14ac:dyDescent="0.35">
      <c r="A4" s="166" t="s">
        <v>78</v>
      </c>
      <c r="B4" s="172"/>
      <c r="C4" s="151">
        <v>2019</v>
      </c>
      <c r="D4" s="173"/>
      <c r="E4" s="40"/>
      <c r="F4" s="12"/>
      <c r="G4" s="20"/>
      <c r="H4" s="20"/>
      <c r="I4" s="20"/>
      <c r="J4" s="22"/>
    </row>
    <row r="5" spans="1:10" x14ac:dyDescent="0.35">
      <c r="A5" s="166" t="s">
        <v>79</v>
      </c>
      <c r="B5" s="172"/>
      <c r="C5" s="153">
        <v>43648</v>
      </c>
      <c r="D5" s="152"/>
      <c r="E5" s="141" t="s">
        <v>80</v>
      </c>
      <c r="F5" s="10"/>
      <c r="G5" s="20" t="s">
        <v>81</v>
      </c>
      <c r="H5" s="3"/>
      <c r="I5" s="3"/>
      <c r="J5" s="4"/>
    </row>
    <row r="6" spans="1:10" ht="15" thickBot="1" x14ac:dyDescent="0.4">
      <c r="A6" s="168" t="s">
        <v>82</v>
      </c>
      <c r="B6" s="190"/>
      <c r="C6" s="154" t="s">
        <v>139</v>
      </c>
      <c r="D6" s="155"/>
      <c r="E6" s="144"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0.5</v>
      </c>
      <c r="C16" s="7">
        <v>5</v>
      </c>
      <c r="D16" s="3" t="str">
        <f ca="1">_xlfn.TEXTJOIN(", ", TRUE, RANDBETWEEN(20, 85), RANDBETWEEN(20, 85), RANDBETWEEN(20, 85), RANDBETWEEN(20, 85), RANDBETWEEN(20, 85), RANDBETWEEN(20, 85), RANDBETWEEN(20, 85), RANDBETWEEN(20, 85), RANDBETWEEN(20, 85), RANDBETWEEN(20, 85))</f>
        <v>54, 45, 82, 53, 31, 77, 61, 74, 60, 60</v>
      </c>
      <c r="E16" s="54" cm="1">
        <f t="array" aca="1" ref="E16" ca="1">AverageStipeDiameter(D16)</f>
        <v>59.7</v>
      </c>
      <c r="F16" s="29">
        <v>21</v>
      </c>
      <c r="G16" s="7">
        <v>1</v>
      </c>
      <c r="H16" s="7">
        <v>8</v>
      </c>
      <c r="I16" t="str">
        <f ca="1">_xlfn.TEXTJOIN(", ", TRUE, RANDBETWEEN(20, 85), RANDBETWEEN(20, 85), RANDBETWEEN(20, 85), RANDBETWEEN(20, 85), RANDBETWEEN(20, 85), RANDBETWEEN(20, 85), RANDBETWEEN(20, 85), RANDBETWEEN(20, 85), RANDBETWEEN(20, 85), RANDBETWEEN(20, 85))</f>
        <v>50, 51, 39, 40, 25, 50, 52, 76, 63, 33</v>
      </c>
      <c r="J16" s="92" cm="1">
        <f t="array" aca="1" ref="J16" ca="1">AverageStipeDiameter(I16)</f>
        <v>47.9</v>
      </c>
    </row>
    <row r="17" spans="1:10" x14ac:dyDescent="0.35">
      <c r="A17" s="27">
        <v>2</v>
      </c>
      <c r="B17" s="7">
        <v>0.5</v>
      </c>
      <c r="C17" s="7">
        <v>15</v>
      </c>
      <c r="D17" s="3" t="str">
        <f t="shared" ref="D17:D35" ca="1" si="0">_xlfn.TEXTJOIN(", ", TRUE, RANDBETWEEN(20, 85), RANDBETWEEN(20, 85), RANDBETWEEN(20, 85), RANDBETWEEN(20, 85), RANDBETWEEN(20, 85), RANDBETWEEN(20, 85), RANDBETWEEN(20, 85), RANDBETWEEN(20, 85), RANDBETWEEN(20, 85), RANDBETWEEN(20, 85))</f>
        <v>57, 56, 29, 63, 22, 24, 51, 61, 55, 77</v>
      </c>
      <c r="E17" s="54" cm="1">
        <f t="array" aca="1" ref="E17" ca="1">AverageStipeDiameter(D17)</f>
        <v>49.5</v>
      </c>
      <c r="F17" s="29">
        <v>22</v>
      </c>
      <c r="G17" s="7">
        <v>2</v>
      </c>
      <c r="H17" s="7">
        <v>14</v>
      </c>
      <c r="I17" t="str">
        <f t="shared" ref="I17:I21" ca="1" si="1">_xlfn.TEXTJOIN(", ", TRUE, RANDBETWEEN(20, 85), RANDBETWEEN(20, 85), RANDBETWEEN(20, 85), RANDBETWEEN(20, 85), RANDBETWEEN(20, 85), RANDBETWEEN(20, 85), RANDBETWEEN(20, 85), RANDBETWEEN(20, 85), RANDBETWEEN(20, 85), RANDBETWEEN(20, 85))</f>
        <v>61, 33, 39, 61, 46, 66, 79, 27, 37, 48</v>
      </c>
      <c r="J17" s="92" cm="1">
        <f t="array" aca="1" ref="J17" ca="1">AverageStipeDiameter(I17)</f>
        <v>49.7</v>
      </c>
    </row>
    <row r="18" spans="1:10" x14ac:dyDescent="0.35">
      <c r="A18" s="27">
        <v>3</v>
      </c>
      <c r="B18" s="7">
        <v>1</v>
      </c>
      <c r="C18" s="7">
        <v>10</v>
      </c>
      <c r="D18" s="3" t="str">
        <f t="shared" ca="1" si="0"/>
        <v>56, 53, 67, 20, 26, 46, 44, 65, 33, 82</v>
      </c>
      <c r="E18" s="54" cm="1">
        <f t="array" aca="1" ref="E18" ca="1">AverageStipeDiameter(D18)</f>
        <v>49.2</v>
      </c>
      <c r="F18" s="29">
        <v>23</v>
      </c>
      <c r="G18" s="7">
        <v>1</v>
      </c>
      <c r="H18" s="7">
        <v>6</v>
      </c>
      <c r="I18" t="str">
        <f t="shared" ca="1" si="1"/>
        <v>48, 55, 35, 44, 29, 73, 50, 36, 40, 68</v>
      </c>
      <c r="J18" s="92" cm="1">
        <f t="array" aca="1" ref="J18" ca="1">AverageStipeDiameter(I18)</f>
        <v>47.8</v>
      </c>
    </row>
    <row r="19" spans="1:10" x14ac:dyDescent="0.35">
      <c r="A19" s="27">
        <v>4</v>
      </c>
      <c r="B19" s="7">
        <v>3</v>
      </c>
      <c r="C19" s="7">
        <v>3</v>
      </c>
      <c r="D19" s="3" t="str">
        <f t="shared" ca="1" si="0"/>
        <v>37, 80, 74, 27, 73, 23, 23, 68, 83, 41</v>
      </c>
      <c r="E19" s="54" cm="1">
        <f t="array" aca="1" ref="E19" ca="1">AverageStipeDiameter(D19)</f>
        <v>52.9</v>
      </c>
      <c r="F19" s="29">
        <v>24</v>
      </c>
      <c r="G19" s="7">
        <v>0.5</v>
      </c>
      <c r="H19" s="7">
        <v>8</v>
      </c>
      <c r="I19" t="str">
        <f t="shared" ca="1" si="1"/>
        <v>24, 77, 85, 81, 43, 24, 67, 82, 75, 39</v>
      </c>
      <c r="J19" s="92" cm="1">
        <f t="array" aca="1" ref="J19" ca="1">AverageStipeDiameter(I19)</f>
        <v>59.7</v>
      </c>
    </row>
    <row r="20" spans="1:10" x14ac:dyDescent="0.35">
      <c r="A20" s="27">
        <v>5</v>
      </c>
      <c r="B20" s="7">
        <v>5</v>
      </c>
      <c r="C20" s="7">
        <v>8</v>
      </c>
      <c r="D20" s="3" t="str">
        <f t="shared" ca="1" si="0"/>
        <v>34, 38, 83, 41, 56, 24, 50, 80, 44, 38</v>
      </c>
      <c r="E20" s="54" cm="1">
        <f t="array" aca="1" ref="E20" ca="1">AverageStipeDiameter(D20)</f>
        <v>48.8</v>
      </c>
      <c r="F20" s="29">
        <v>25</v>
      </c>
      <c r="G20" s="7">
        <v>5</v>
      </c>
      <c r="H20" s="7">
        <v>10</v>
      </c>
      <c r="I20" t="str">
        <f t="shared" ca="1" si="1"/>
        <v>30, 35, 74, 69, 82, 27, 63, 25, 79, 55</v>
      </c>
      <c r="J20" s="92" cm="1">
        <f t="array" aca="1" ref="J20" ca="1">AverageStipeDiameter(I20)</f>
        <v>53.9</v>
      </c>
    </row>
    <row r="21" spans="1:10" x14ac:dyDescent="0.35">
      <c r="A21" s="27">
        <v>6</v>
      </c>
      <c r="B21" s="7">
        <v>4</v>
      </c>
      <c r="C21" s="7">
        <v>4</v>
      </c>
      <c r="D21" s="3" t="str">
        <f t="shared" ca="1" si="0"/>
        <v>32, 54, 39, 72, 24, 65, 68, 46, 80, 79</v>
      </c>
      <c r="E21" s="54" cm="1">
        <f t="array" aca="1" ref="E21" ca="1">AverageStipeDiameter(D21)</f>
        <v>55.9</v>
      </c>
      <c r="F21" s="29">
        <v>26</v>
      </c>
      <c r="G21" s="7">
        <v>3</v>
      </c>
      <c r="H21" s="7">
        <v>12</v>
      </c>
      <c r="I21" t="str">
        <f t="shared" ca="1" si="1"/>
        <v>40, 48, 60, 49, 84, 28, 34, 58, 79, 73</v>
      </c>
      <c r="J21" s="92" cm="1">
        <f t="array" aca="1" ref="J21" ca="1">AverageStipeDiameter(I21)</f>
        <v>55.3</v>
      </c>
    </row>
    <row r="22" spans="1:10" x14ac:dyDescent="0.35">
      <c r="A22" s="27">
        <v>7</v>
      </c>
      <c r="B22" s="7">
        <v>0.5</v>
      </c>
      <c r="C22" s="7">
        <v>10</v>
      </c>
      <c r="D22" s="3" t="str">
        <f t="shared" ca="1" si="0"/>
        <v>55, 56, 48, 62, 32, 38, 63, 58, 69, 74</v>
      </c>
      <c r="E22" s="54" cm="1">
        <f t="array" aca="1" ref="E22" ca="1">AverageStipeDiameter(D22)</f>
        <v>55.5</v>
      </c>
      <c r="F22" s="29">
        <v>27</v>
      </c>
      <c r="G22" s="7"/>
      <c r="H22" s="7"/>
      <c r="I22" s="43"/>
      <c r="J22" s="92" cm="1">
        <f t="array" ref="J22">AverageStipeDiameter(I22)</f>
        <v>0</v>
      </c>
    </row>
    <row r="23" spans="1:10" x14ac:dyDescent="0.35">
      <c r="A23" s="27">
        <v>8</v>
      </c>
      <c r="B23" s="7">
        <v>2</v>
      </c>
      <c r="C23" s="7">
        <v>13</v>
      </c>
      <c r="D23" s="3" t="str">
        <f t="shared" ca="1" si="0"/>
        <v>80, 63, 57, 25, 59, 56, 65, 85, 55, 71</v>
      </c>
      <c r="E23" s="54" cm="1">
        <f t="array" aca="1" ref="E23" ca="1">AverageStipeDiameter(D23)</f>
        <v>61.6</v>
      </c>
      <c r="F23" s="29">
        <v>28</v>
      </c>
      <c r="G23" s="7"/>
      <c r="H23" s="7"/>
      <c r="I23" s="43"/>
      <c r="J23" s="92" cm="1">
        <f t="array" ref="J23">AverageStipeDiameter(I23)</f>
        <v>0</v>
      </c>
    </row>
    <row r="24" spans="1:10" x14ac:dyDescent="0.35">
      <c r="A24" s="27">
        <v>9</v>
      </c>
      <c r="B24" s="7">
        <v>2</v>
      </c>
      <c r="C24" s="7">
        <v>19</v>
      </c>
      <c r="D24" s="3" t="str">
        <f t="shared" ca="1" si="0"/>
        <v>64, 75, 45, 24, 50, 49, 21, 31, 77, 33</v>
      </c>
      <c r="E24" s="54" cm="1">
        <f t="array" aca="1" ref="E24" ca="1">AverageStipeDiameter(D24)</f>
        <v>46.9</v>
      </c>
      <c r="F24" s="29">
        <v>29</v>
      </c>
      <c r="G24" s="7"/>
      <c r="H24" s="7"/>
      <c r="I24" s="43"/>
      <c r="J24" s="92" cm="1">
        <f t="array" ref="J24">AverageStipeDiameter(I24)</f>
        <v>0</v>
      </c>
    </row>
    <row r="25" spans="1:10" x14ac:dyDescent="0.35">
      <c r="A25" s="27">
        <v>10</v>
      </c>
      <c r="B25" s="7">
        <v>4</v>
      </c>
      <c r="C25" s="7">
        <v>8</v>
      </c>
      <c r="D25" s="3" t="str">
        <f t="shared" ca="1" si="0"/>
        <v>70, 53, 45, 47, 52, 72, 78, 63, 62, 56</v>
      </c>
      <c r="E25" s="54" cm="1">
        <f t="array" aca="1" ref="E25" ca="1">AverageStipeDiameter(D25)</f>
        <v>59.8</v>
      </c>
      <c r="F25" s="29">
        <v>30</v>
      </c>
      <c r="G25" s="7"/>
      <c r="H25" s="7"/>
      <c r="I25" s="43"/>
      <c r="J25" s="92" cm="1">
        <f t="array" ref="J25">AverageStipeDiameter(I25)</f>
        <v>0</v>
      </c>
    </row>
    <row r="26" spans="1:10" x14ac:dyDescent="0.35">
      <c r="A26" s="27">
        <v>11</v>
      </c>
      <c r="B26" s="7">
        <v>2</v>
      </c>
      <c r="C26" s="7">
        <v>18</v>
      </c>
      <c r="D26" s="3" t="str">
        <f t="shared" ca="1" si="0"/>
        <v>83, 26, 85, 44, 23, 54, 22, 22, 35, 37</v>
      </c>
      <c r="E26" s="54" cm="1">
        <f t="array" aca="1" ref="E26" ca="1">AverageStipeDiameter(D26)</f>
        <v>43.1</v>
      </c>
      <c r="F26" s="29">
        <v>31</v>
      </c>
      <c r="G26" s="7"/>
      <c r="H26" s="7"/>
      <c r="I26" s="43"/>
      <c r="J26" s="92" cm="1">
        <f t="array" ref="J26">AverageStipeDiameter(I26)</f>
        <v>0</v>
      </c>
    </row>
    <row r="27" spans="1:10" x14ac:dyDescent="0.35">
      <c r="A27" s="27">
        <v>12</v>
      </c>
      <c r="B27" s="7">
        <v>1</v>
      </c>
      <c r="C27" s="7">
        <v>9</v>
      </c>
      <c r="D27" s="3" t="str">
        <f t="shared" ca="1" si="0"/>
        <v>39, 77, 34, 44, 55, 35, 51, 51, 48, 36</v>
      </c>
      <c r="E27" s="54" cm="1">
        <f t="array" aca="1" ref="E27" ca="1">AverageStipeDiameter(D27)</f>
        <v>47</v>
      </c>
      <c r="F27" s="29">
        <v>32</v>
      </c>
      <c r="G27" s="7"/>
      <c r="H27" s="7"/>
      <c r="I27" s="43"/>
      <c r="J27" s="92" cm="1">
        <f t="array" ref="J27">AverageStipeDiameter(I27)</f>
        <v>0</v>
      </c>
    </row>
    <row r="28" spans="1:10" x14ac:dyDescent="0.35">
      <c r="A28" s="27">
        <v>13</v>
      </c>
      <c r="B28" s="7">
        <v>0.5</v>
      </c>
      <c r="C28" s="7">
        <v>14</v>
      </c>
      <c r="D28" s="3" t="str">
        <f t="shared" ca="1" si="0"/>
        <v>85, 36, 23, 20, 66, 36, 55, 24, 54, 54</v>
      </c>
      <c r="E28" s="54" cm="1">
        <f t="array" aca="1" ref="E28" ca="1">AverageStipeDiameter(D28)</f>
        <v>45.3</v>
      </c>
      <c r="F28" s="29">
        <v>33</v>
      </c>
      <c r="G28" s="7"/>
      <c r="H28" s="7"/>
      <c r="I28" s="43"/>
      <c r="J28" s="92" cm="1">
        <f t="array" ref="J28">AverageStipeDiameter(I28)</f>
        <v>0</v>
      </c>
    </row>
    <row r="29" spans="1:10" x14ac:dyDescent="0.35">
      <c r="A29" s="27">
        <v>14</v>
      </c>
      <c r="B29" s="7">
        <v>2</v>
      </c>
      <c r="C29" s="7">
        <v>5</v>
      </c>
      <c r="D29" s="3" t="str">
        <f t="shared" ca="1" si="0"/>
        <v>77, 45, 34, 24, 69, 52, 69, 29, 21, 53</v>
      </c>
      <c r="E29" s="54" cm="1">
        <f t="array" aca="1" ref="E29" ca="1">AverageStipeDiameter(D29)</f>
        <v>47.3</v>
      </c>
      <c r="F29" s="29">
        <v>34</v>
      </c>
      <c r="G29" s="7"/>
      <c r="H29" s="7"/>
      <c r="I29" s="43"/>
      <c r="J29" s="92" cm="1">
        <f t="array" ref="J29">AverageStipeDiameter(I29)</f>
        <v>0</v>
      </c>
    </row>
    <row r="30" spans="1:10" x14ac:dyDescent="0.35">
      <c r="A30" s="27">
        <v>15</v>
      </c>
      <c r="B30" s="7">
        <v>2</v>
      </c>
      <c r="C30" s="7">
        <v>6</v>
      </c>
      <c r="D30" s="3" t="str">
        <f t="shared" ca="1" si="0"/>
        <v>72, 85, 70, 41, 30, 82, 57, 23, 33, 43</v>
      </c>
      <c r="E30" s="54" cm="1">
        <f t="array" aca="1" ref="E30" ca="1">AverageStipeDiameter(D30)</f>
        <v>53.6</v>
      </c>
      <c r="F30" s="29">
        <v>35</v>
      </c>
      <c r="G30" s="7"/>
      <c r="H30" s="7"/>
      <c r="I30" s="43"/>
      <c r="J30" s="92" cm="1">
        <f t="array" ref="J30">AverageStipeDiameter(I30)</f>
        <v>0</v>
      </c>
    </row>
    <row r="31" spans="1:10" x14ac:dyDescent="0.35">
      <c r="A31" s="27">
        <v>16</v>
      </c>
      <c r="B31" s="7">
        <v>3</v>
      </c>
      <c r="C31" s="7">
        <v>9</v>
      </c>
      <c r="D31" s="3" t="str">
        <f t="shared" ca="1" si="0"/>
        <v>70, 49, 43, 53, 50, 75, 78, 80, 52, 57</v>
      </c>
      <c r="E31" s="54" cm="1">
        <f t="array" aca="1" ref="E31" ca="1">AverageStipeDiameter(D31)</f>
        <v>60.7</v>
      </c>
      <c r="F31" s="29">
        <v>36</v>
      </c>
      <c r="G31" s="7"/>
      <c r="H31" s="7"/>
      <c r="I31" s="43"/>
      <c r="J31" s="92" cm="1">
        <f t="array" ref="J31">AverageStipeDiameter(I31)</f>
        <v>0</v>
      </c>
    </row>
    <row r="32" spans="1:10" x14ac:dyDescent="0.35">
      <c r="A32" s="27">
        <v>17</v>
      </c>
      <c r="B32" s="7">
        <v>5</v>
      </c>
      <c r="C32" s="7">
        <v>12</v>
      </c>
      <c r="D32" s="3" t="str">
        <f t="shared" ca="1" si="0"/>
        <v>20, 56, 81, 40, 75, 73, 20, 71, 56, 31</v>
      </c>
      <c r="E32" s="54" cm="1">
        <f t="array" aca="1" ref="E32" ca="1">AverageStipeDiameter(D32)</f>
        <v>52.3</v>
      </c>
      <c r="F32" s="29">
        <v>37</v>
      </c>
      <c r="G32" s="7"/>
      <c r="H32" s="7"/>
      <c r="I32" s="43"/>
      <c r="J32" s="92" cm="1">
        <f t="array" ref="J32">AverageStipeDiameter(I32)</f>
        <v>0</v>
      </c>
    </row>
    <row r="33" spans="1:10" x14ac:dyDescent="0.35">
      <c r="A33" s="27">
        <v>18</v>
      </c>
      <c r="B33" s="7">
        <v>3</v>
      </c>
      <c r="C33" s="7">
        <v>11</v>
      </c>
      <c r="D33" s="3" t="str">
        <f t="shared" ca="1" si="0"/>
        <v>44, 31, 67, 51, 23, 57, 53, 46, 81, 63</v>
      </c>
      <c r="E33" s="54" cm="1">
        <f t="array" aca="1" ref="E33" ca="1">AverageStipeDiameter(D33)</f>
        <v>51.6</v>
      </c>
      <c r="F33" s="29">
        <v>38</v>
      </c>
      <c r="G33" s="7"/>
      <c r="H33" s="7"/>
      <c r="I33" s="43"/>
      <c r="J33" s="92" cm="1">
        <f t="array" ref="J33">AverageStipeDiameter(I33)</f>
        <v>0</v>
      </c>
    </row>
    <row r="34" spans="1:10" x14ac:dyDescent="0.35">
      <c r="A34" s="27">
        <v>19</v>
      </c>
      <c r="B34" s="7">
        <v>2</v>
      </c>
      <c r="C34" s="7">
        <v>5</v>
      </c>
      <c r="D34" s="3" t="str">
        <f t="shared" ca="1" si="0"/>
        <v>45, 27, 21, 46, 74, 51, 41, 74, 63, 20</v>
      </c>
      <c r="E34" s="54" cm="1">
        <f t="array" aca="1" ref="E34" ca="1">AverageStipeDiameter(D34)</f>
        <v>46.2</v>
      </c>
      <c r="F34" s="29">
        <v>39</v>
      </c>
      <c r="G34" s="7"/>
      <c r="H34" s="7"/>
      <c r="I34" s="43"/>
      <c r="J34" s="92" cm="1">
        <f t="array" ref="J34">AverageStipeDiameter(I34)</f>
        <v>0</v>
      </c>
    </row>
    <row r="35" spans="1:10" ht="15" thickBot="1" x14ac:dyDescent="0.4">
      <c r="A35" s="28">
        <v>20</v>
      </c>
      <c r="B35" s="8">
        <v>1</v>
      </c>
      <c r="C35" s="8">
        <v>8</v>
      </c>
      <c r="D35" s="5" t="str">
        <f t="shared" ca="1" si="0"/>
        <v>62, 51, 82, 35, 76, 51, 67, 57, 84, 24</v>
      </c>
      <c r="E35" s="93" cm="1">
        <f t="array" aca="1" ref="E35" ca="1">AverageStipeDiameter(D35)</f>
        <v>58.9</v>
      </c>
      <c r="F35" s="30">
        <v>40</v>
      </c>
      <c r="G35" s="8"/>
      <c r="H35" s="8"/>
      <c r="I35" s="44"/>
      <c r="J35" s="94" cm="1">
        <f t="array" ref="J35">AverageStipeDiameter(I35)</f>
        <v>0</v>
      </c>
    </row>
    <row r="36" spans="1:10" ht="17" thickBot="1" x14ac:dyDescent="0.4">
      <c r="A36" s="188" t="s">
        <v>133</v>
      </c>
      <c r="B36" s="189"/>
      <c r="C36" s="80">
        <v>700</v>
      </c>
    </row>
    <row r="37" spans="1:10" ht="17" thickBot="1" x14ac:dyDescent="0.4">
      <c r="A37" s="186" t="s">
        <v>134</v>
      </c>
      <c r="B37" s="187"/>
      <c r="C37" s="81">
        <v>800</v>
      </c>
    </row>
    <row r="38" spans="1:10" ht="15" thickBot="1" x14ac:dyDescent="0.4">
      <c r="A38" s="182" t="s">
        <v>135</v>
      </c>
      <c r="B38" s="183"/>
      <c r="C38" s="78" cm="1">
        <f t="array" ref="C38">Bryozoans(B16:B35,G16:G35)</f>
        <v>34.42307692307692</v>
      </c>
    </row>
    <row r="39" spans="1:10" ht="15" thickBot="1" x14ac:dyDescent="0.4">
      <c r="A39" s="184" t="s">
        <v>136</v>
      </c>
      <c r="B39" s="185"/>
      <c r="C39" s="79" cm="1">
        <f t="array" aca="1" ref="C39" ca="1">AverageCSVcols(D16:D35,I16:I35)</f>
        <v>52.311538461538461</v>
      </c>
    </row>
    <row r="40" spans="1:10" ht="15" thickBot="1" x14ac:dyDescent="0.4">
      <c r="A40" s="186" t="s">
        <v>137</v>
      </c>
      <c r="B40" s="187"/>
      <c r="C40" s="77">
        <f>AVERAGE(C16:C35,H16:H35)</f>
        <v>9.615384615384615</v>
      </c>
    </row>
  </sheetData>
  <mergeCells count="24">
    <mergeCell ref="A38:B38"/>
    <mergeCell ref="A39:B39"/>
    <mergeCell ref="A40:B40"/>
    <mergeCell ref="C4:D4"/>
    <mergeCell ref="A4:B4"/>
    <mergeCell ref="A37:B37"/>
    <mergeCell ref="A36:B36"/>
    <mergeCell ref="A1:J1"/>
    <mergeCell ref="A2:B2"/>
    <mergeCell ref="C2:D2"/>
    <mergeCell ref="A3:B3"/>
    <mergeCell ref="C3:D3"/>
    <mergeCell ref="H13:J13"/>
    <mergeCell ref="A14:J14"/>
    <mergeCell ref="I9:J9"/>
    <mergeCell ref="A5:B5"/>
    <mergeCell ref="I10:J10"/>
    <mergeCell ref="I11:J11"/>
    <mergeCell ref="I12:J12"/>
    <mergeCell ref="C5:D5"/>
    <mergeCell ref="A6:B6"/>
    <mergeCell ref="C6:D6"/>
    <mergeCell ref="A7:F7"/>
    <mergeCell ref="G8:J8"/>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1DFF0-E4B3-4E90-A284-13640E17EF5F}">
  <sheetPr codeName="Sheet8">
    <tabColor theme="8" tint="0.39997558519241921"/>
  </sheetPr>
  <dimension ref="A1:J40"/>
  <sheetViews>
    <sheetView zoomScale="80" zoomScaleNormal="80" workbookViewId="0">
      <selection activeCell="C3" sqref="C3:D3"/>
    </sheetView>
  </sheetViews>
  <sheetFormatPr defaultRowHeight="14.5" x14ac:dyDescent="0.35"/>
  <cols>
    <col min="1" max="1" width="8.81640625" customWidth="1"/>
    <col min="2" max="2" width="12.1796875" bestFit="1" customWidth="1"/>
    <col min="3" max="3" width="10.1796875" customWidth="1"/>
    <col min="4" max="4" width="27" customWidth="1"/>
    <col min="5" max="5" width="21.1796875" customWidth="1"/>
    <col min="6" max="6" width="9.1796875" customWidth="1"/>
    <col min="7" max="7" width="20.81640625" customWidth="1"/>
    <col min="8" max="8" width="12.1796875" bestFit="1" customWidth="1"/>
    <col min="9" max="9" width="17.81640625" bestFit="1" customWidth="1"/>
    <col min="10" max="10" width="10.81640625" customWidth="1"/>
  </cols>
  <sheetData>
    <row r="1" spans="1:10" ht="15" thickBot="1" x14ac:dyDescent="0.4">
      <c r="A1" s="191" t="s">
        <v>66</v>
      </c>
      <c r="B1" s="192"/>
      <c r="C1" s="157"/>
      <c r="D1" s="157"/>
      <c r="E1" s="192"/>
      <c r="F1" s="192"/>
      <c r="G1" s="192"/>
      <c r="H1" s="192"/>
      <c r="I1" s="192"/>
      <c r="J1" s="193"/>
    </row>
    <row r="2" spans="1:10" x14ac:dyDescent="0.35">
      <c r="A2" s="194" t="s">
        <v>67</v>
      </c>
      <c r="B2" s="195"/>
      <c r="C2" s="170" t="s">
        <v>140</v>
      </c>
      <c r="D2" s="196"/>
      <c r="E2" s="39" t="s">
        <v>69</v>
      </c>
      <c r="F2" s="9"/>
      <c r="G2" s="18" t="s">
        <v>70</v>
      </c>
      <c r="H2" s="17"/>
      <c r="I2" s="19" t="s">
        <v>71</v>
      </c>
      <c r="J2" s="16"/>
    </row>
    <row r="3" spans="1:10" x14ac:dyDescent="0.35">
      <c r="A3" s="166" t="s">
        <v>72</v>
      </c>
      <c r="B3" s="172"/>
      <c r="C3" s="151" t="s">
        <v>176</v>
      </c>
      <c r="D3" s="152"/>
      <c r="E3" s="40" t="s">
        <v>73</v>
      </c>
      <c r="F3" s="12"/>
      <c r="G3" s="20" t="s">
        <v>74</v>
      </c>
      <c r="H3" s="20" t="s">
        <v>75</v>
      </c>
      <c r="I3" s="20" t="s">
        <v>76</v>
      </c>
      <c r="J3" s="22" t="s">
        <v>77</v>
      </c>
    </row>
    <row r="4" spans="1:10" x14ac:dyDescent="0.35">
      <c r="A4" s="166" t="s">
        <v>141</v>
      </c>
      <c r="B4" s="172"/>
      <c r="C4" s="151">
        <v>2019</v>
      </c>
      <c r="D4" s="173"/>
      <c r="E4" s="40"/>
      <c r="F4" s="12"/>
      <c r="G4" s="20"/>
      <c r="H4" s="20"/>
      <c r="I4" s="20"/>
      <c r="J4" s="22"/>
    </row>
    <row r="5" spans="1:10" x14ac:dyDescent="0.35">
      <c r="A5" s="166" t="s">
        <v>79</v>
      </c>
      <c r="B5" s="172"/>
      <c r="C5" s="153">
        <v>43681</v>
      </c>
      <c r="D5" s="152"/>
      <c r="E5" s="141" t="s">
        <v>80</v>
      </c>
      <c r="F5" s="10"/>
      <c r="G5" s="20" t="s">
        <v>81</v>
      </c>
      <c r="H5" s="3"/>
      <c r="I5" s="3"/>
      <c r="J5" s="4"/>
    </row>
    <row r="6" spans="1:10" ht="15" thickBot="1" x14ac:dyDescent="0.4">
      <c r="A6" s="168" t="s">
        <v>82</v>
      </c>
      <c r="B6" s="190"/>
      <c r="C6" s="154" t="s">
        <v>142</v>
      </c>
      <c r="D6" s="155"/>
      <c r="E6" s="144"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0.5</v>
      </c>
      <c r="C16" s="7">
        <v>5</v>
      </c>
      <c r="D16" t="str">
        <f ca="1">_xlfn.TEXTJOIN(", ", TRUE, RANDBETWEEN(20, 85), RANDBETWEEN(20, 85), RANDBETWEEN(20, 85), RANDBETWEEN(20, 85), RANDBETWEEN(20, 85), RANDBETWEEN(20, 85), RANDBETWEEN(20, 85), RANDBETWEEN(20, 85), RANDBETWEEN(20, 85), RANDBETWEEN(20, 85))</f>
        <v>52, 48, 67, 35, 69, 65, 70, 53, 55, 70</v>
      </c>
      <c r="E16" s="54" cm="1">
        <f t="array" aca="1" ref="E16" ca="1">AverageStipeDiameter(D16)</f>
        <v>58.4</v>
      </c>
      <c r="F16" s="29">
        <v>21</v>
      </c>
      <c r="G16" s="7">
        <v>0.5</v>
      </c>
      <c r="H16" s="7">
        <f t="shared" ref="H16:H35" ca="1" si="0">RANDBETWEEN(1,25)</f>
        <v>21</v>
      </c>
      <c r="I16" t="str">
        <f t="shared" ref="I16:I35" ca="1" si="1">_xlfn.TEXTJOIN(", ", TRUE, RANDBETWEEN(20, 85), RANDBETWEEN(20, 85), RANDBETWEEN(20, 85), RANDBETWEEN(20, 85), RANDBETWEEN(20, 85), RANDBETWEEN(20, 85), RANDBETWEEN(20, 85), RANDBETWEEN(20, 85), RANDBETWEEN(20, 85), RANDBETWEEN(20, 85))</f>
        <v>83, 67, 63, 55, 35, 35, 59, 44, 22, 80</v>
      </c>
      <c r="J16" s="92" cm="1">
        <f t="array" aca="1" ref="J16" ca="1">AverageStipeDiameter(I16)</f>
        <v>54.3</v>
      </c>
    </row>
    <row r="17" spans="1:10" x14ac:dyDescent="0.35">
      <c r="A17" s="27">
        <v>2</v>
      </c>
      <c r="B17" s="7">
        <v>0.5</v>
      </c>
      <c r="C17" s="7">
        <v>15</v>
      </c>
      <c r="D17" t="str">
        <f t="shared" ref="D17:D35" ca="1" si="2">_xlfn.TEXTJOIN(", ", TRUE, RANDBETWEEN(20, 85), RANDBETWEEN(20, 85), RANDBETWEEN(20, 85), RANDBETWEEN(20, 85), RANDBETWEEN(20, 85), RANDBETWEEN(20, 85), RANDBETWEEN(20, 85), RANDBETWEEN(20, 85), RANDBETWEEN(20, 85), RANDBETWEEN(20, 85))</f>
        <v>74, 64, 49, 48, 24, 30, 38, 34, 77, 54</v>
      </c>
      <c r="E17" s="54" cm="1">
        <f t="array" aca="1" ref="E17" ca="1">AverageStipeDiameter(D17)</f>
        <v>49.2</v>
      </c>
      <c r="F17" s="29">
        <v>22</v>
      </c>
      <c r="G17" s="7">
        <v>0.5</v>
      </c>
      <c r="H17" s="7">
        <f t="shared" ca="1" si="0"/>
        <v>17</v>
      </c>
      <c r="I17" t="str">
        <f t="shared" ca="1" si="1"/>
        <v>73, 22, 28, 74, 23, 44, 67, 60, 34, 72</v>
      </c>
      <c r="J17" s="92" cm="1">
        <f t="array" aca="1" ref="J17" ca="1">AverageStipeDiameter(I17)</f>
        <v>49.7</v>
      </c>
    </row>
    <row r="18" spans="1:10" x14ac:dyDescent="0.35">
      <c r="A18" s="27">
        <v>3</v>
      </c>
      <c r="B18" s="7">
        <v>1</v>
      </c>
      <c r="C18" s="7">
        <v>10</v>
      </c>
      <c r="D18" t="str">
        <f t="shared" ca="1" si="2"/>
        <v>22, 78, 34, 35, 83, 66, 68, 26, 65, 69</v>
      </c>
      <c r="E18" s="54" cm="1">
        <f t="array" aca="1" ref="E18" ca="1">AverageStipeDiameter(D18)</f>
        <v>54.6</v>
      </c>
      <c r="F18" s="29">
        <v>23</v>
      </c>
      <c r="G18" s="7">
        <v>1</v>
      </c>
      <c r="H18" s="7">
        <f t="shared" ca="1" si="0"/>
        <v>9</v>
      </c>
      <c r="I18" t="str">
        <f t="shared" ca="1" si="1"/>
        <v>76, 82, 45, 84, 58, 58, 28, 54, 51, 39</v>
      </c>
      <c r="J18" s="92" cm="1">
        <f t="array" aca="1" ref="J18" ca="1">AverageStipeDiameter(I18)</f>
        <v>57.5</v>
      </c>
    </row>
    <row r="19" spans="1:10" x14ac:dyDescent="0.35">
      <c r="A19" s="27">
        <v>4</v>
      </c>
      <c r="B19" s="7">
        <v>1</v>
      </c>
      <c r="C19" s="7">
        <v>3</v>
      </c>
      <c r="D19" t="str">
        <f t="shared" ca="1" si="2"/>
        <v>20, 68, 22, 77, 66, 43, 85, 38, 34, 63</v>
      </c>
      <c r="E19" s="54" cm="1">
        <f t="array" aca="1" ref="E19" ca="1">AverageStipeDiameter(D19)</f>
        <v>51.6</v>
      </c>
      <c r="F19" s="29">
        <v>24</v>
      </c>
      <c r="G19" s="7">
        <v>1</v>
      </c>
      <c r="H19" s="7">
        <f t="shared" ca="1" si="0"/>
        <v>24</v>
      </c>
      <c r="I19" t="str">
        <f t="shared" ca="1" si="1"/>
        <v>20, 83, 45, 55, 76, 57, 21, 44, 42, 60</v>
      </c>
      <c r="J19" s="92" cm="1">
        <f t="array" aca="1" ref="J19" ca="1">AverageStipeDiameter(I19)</f>
        <v>50.3</v>
      </c>
    </row>
    <row r="20" spans="1:10" x14ac:dyDescent="0.35">
      <c r="A20" s="27">
        <v>5</v>
      </c>
      <c r="B20" s="7">
        <v>1</v>
      </c>
      <c r="C20" s="7">
        <v>8</v>
      </c>
      <c r="D20" t="str">
        <f t="shared" ca="1" si="2"/>
        <v>72, 60, 67, 80, 34, 54, 85, 54, 31, 43</v>
      </c>
      <c r="E20" s="54" cm="1">
        <f t="array" aca="1" ref="E20" ca="1">AverageStipeDiameter(D20)</f>
        <v>58</v>
      </c>
      <c r="F20" s="29">
        <v>25</v>
      </c>
      <c r="G20" s="7">
        <v>1</v>
      </c>
      <c r="H20" s="7">
        <f t="shared" ca="1" si="0"/>
        <v>6</v>
      </c>
      <c r="I20" t="str">
        <f ca="1">_xlfn.TEXTJOIN(", ", TRUE, RANDBETWEEN(20, 85), RANDBETWEEN(20, 85), RANDBETWEEN(20, 85), RANDBETWEEN(20, 85), RANDBETWEEN(20, 85), RANDBETWEEN(20, 85), RANDBETWEEN(20, 85), RANDBETWEEN(20, 85), RANDBETWEEN(20, 85), RANDBETWEEN(20, 85))</f>
        <v>83, 36, 23, 38, 33, 23, 35, 75, 83, 74</v>
      </c>
      <c r="J20" s="92" cm="1">
        <f t="array" aca="1" ref="J20" ca="1">AverageStipeDiameter(I20)</f>
        <v>50.3</v>
      </c>
    </row>
    <row r="21" spans="1:10" x14ac:dyDescent="0.35">
      <c r="A21" s="27">
        <v>6</v>
      </c>
      <c r="B21" s="7">
        <v>1</v>
      </c>
      <c r="C21" s="7">
        <v>4</v>
      </c>
      <c r="D21" t="str">
        <f t="shared" ca="1" si="2"/>
        <v>53, 85, 81, 46, 40, 44, 38, 54, 61, 32</v>
      </c>
      <c r="E21" s="54" cm="1">
        <f t="array" aca="1" ref="E21" ca="1">AverageStipeDiameter(D21)</f>
        <v>53.4</v>
      </c>
      <c r="F21" s="29">
        <v>26</v>
      </c>
      <c r="G21" s="7">
        <v>1</v>
      </c>
      <c r="H21" s="7">
        <f t="shared" ca="1" si="0"/>
        <v>19</v>
      </c>
      <c r="I21" t="str">
        <f t="shared" ca="1" si="1"/>
        <v>32, 60, 71, 60, 41, 29, 24, 54, 43, 43</v>
      </c>
      <c r="J21" s="92" cm="1">
        <f t="array" aca="1" ref="J21" ca="1">AverageStipeDiameter(I21)</f>
        <v>45.7</v>
      </c>
    </row>
    <row r="22" spans="1:10" x14ac:dyDescent="0.35">
      <c r="A22" s="27">
        <v>7</v>
      </c>
      <c r="B22" s="7">
        <v>0.5</v>
      </c>
      <c r="C22" s="7">
        <v>10</v>
      </c>
      <c r="D22" t="str">
        <f t="shared" ca="1" si="2"/>
        <v>68, 69, 23, 53, 40, 43, 47, 44, 74, 37</v>
      </c>
      <c r="E22" s="54" cm="1">
        <f t="array" aca="1" ref="E22" ca="1">AverageStipeDiameter(D22)</f>
        <v>49.8</v>
      </c>
      <c r="F22" s="29">
        <v>27</v>
      </c>
      <c r="G22" s="7">
        <v>0.5</v>
      </c>
      <c r="H22" s="7">
        <f t="shared" ca="1" si="0"/>
        <v>24</v>
      </c>
      <c r="I22" t="str">
        <f t="shared" ca="1" si="1"/>
        <v>25, 62, 83, 43, 76, 34, 60, 49, 85, 65</v>
      </c>
      <c r="J22" s="92" cm="1">
        <f t="array" aca="1" ref="J22" ca="1">AverageStipeDiameter(I22)</f>
        <v>58.2</v>
      </c>
    </row>
    <row r="23" spans="1:10" x14ac:dyDescent="0.35">
      <c r="A23" s="27">
        <v>8</v>
      </c>
      <c r="B23" s="7">
        <v>2</v>
      </c>
      <c r="C23" s="7">
        <v>13</v>
      </c>
      <c r="D23" t="str">
        <f t="shared" ca="1" si="2"/>
        <v>38, 51, 31, 34, 21, 36, 34, 74, 59, 36</v>
      </c>
      <c r="E23" s="54" cm="1">
        <f t="array" aca="1" ref="E23" ca="1">AverageStipeDiameter(D23)</f>
        <v>41.4</v>
      </c>
      <c r="F23" s="29">
        <v>28</v>
      </c>
      <c r="G23" s="7">
        <v>2</v>
      </c>
      <c r="H23" s="7">
        <f t="shared" ca="1" si="0"/>
        <v>13</v>
      </c>
      <c r="I23" t="str">
        <f t="shared" ca="1" si="1"/>
        <v>20, 27, 50, 33, 74, 24, 43, 72, 82, 39</v>
      </c>
      <c r="J23" s="92" cm="1">
        <f t="array" aca="1" ref="J23" ca="1">AverageStipeDiameter(I23)</f>
        <v>46.4</v>
      </c>
    </row>
    <row r="24" spans="1:10" x14ac:dyDescent="0.35">
      <c r="A24" s="27">
        <v>9</v>
      </c>
      <c r="B24" s="7">
        <v>1</v>
      </c>
      <c r="C24" s="7">
        <v>19</v>
      </c>
      <c r="D24" t="str">
        <f t="shared" ca="1" si="2"/>
        <v>71, 75, 52, 44, 50, 30, 37, 29, 41, 33</v>
      </c>
      <c r="E24" s="54" cm="1">
        <f t="array" aca="1" ref="E24" ca="1">AverageStipeDiameter(D24)</f>
        <v>46.2</v>
      </c>
      <c r="F24" s="29">
        <v>29</v>
      </c>
      <c r="G24" s="7">
        <v>1</v>
      </c>
      <c r="H24" s="7">
        <f t="shared" ca="1" si="0"/>
        <v>16</v>
      </c>
      <c r="I24" t="str">
        <f t="shared" ca="1" si="1"/>
        <v>84, 37, 20, 65, 22, 51, 76, 54, 36, 20</v>
      </c>
      <c r="J24" s="92" cm="1">
        <f t="array" aca="1" ref="J24" ca="1">AverageStipeDiameter(I24)</f>
        <v>46.5</v>
      </c>
    </row>
    <row r="25" spans="1:10" x14ac:dyDescent="0.35">
      <c r="A25" s="27">
        <v>10</v>
      </c>
      <c r="B25" s="7">
        <v>1</v>
      </c>
      <c r="C25" s="7">
        <v>8</v>
      </c>
      <c r="D25" t="str">
        <f t="shared" ca="1" si="2"/>
        <v>75, 58, 50, 49, 21, 59, 54, 45, 41, 37</v>
      </c>
      <c r="E25" s="54" cm="1">
        <f t="array" aca="1" ref="E25" ca="1">AverageStipeDiameter(D25)</f>
        <v>48.9</v>
      </c>
      <c r="F25" s="29">
        <v>30</v>
      </c>
      <c r="G25" s="7">
        <v>1</v>
      </c>
      <c r="H25" s="7">
        <f t="shared" ca="1" si="0"/>
        <v>23</v>
      </c>
      <c r="I25" t="str">
        <f t="shared" ca="1" si="1"/>
        <v>55, 29, 81, 55, 35, 75, 72, 80, 55, 63</v>
      </c>
      <c r="J25" s="92" cm="1">
        <f t="array" aca="1" ref="J25" ca="1">AverageStipeDiameter(I25)</f>
        <v>60</v>
      </c>
    </row>
    <row r="26" spans="1:10" x14ac:dyDescent="0.35">
      <c r="A26" s="27">
        <v>11</v>
      </c>
      <c r="B26" s="7">
        <v>2</v>
      </c>
      <c r="C26" s="7">
        <v>10</v>
      </c>
      <c r="D26" t="str">
        <f t="shared" ca="1" si="2"/>
        <v>33, 56, 58, 24, 77, 85, 78, 41, 49, 61</v>
      </c>
      <c r="E26" s="54" cm="1">
        <f t="array" aca="1" ref="E26" ca="1">AverageStipeDiameter(D26)</f>
        <v>56.2</v>
      </c>
      <c r="F26" s="29">
        <v>31</v>
      </c>
      <c r="G26" s="7">
        <v>2</v>
      </c>
      <c r="H26" s="7">
        <f t="shared" ca="1" si="0"/>
        <v>20</v>
      </c>
      <c r="I26" t="str">
        <f t="shared" ca="1" si="1"/>
        <v>69, 27, 61, 34, 48, 23, 74, 52, 26, 80</v>
      </c>
      <c r="J26" s="92" cm="1">
        <f t="array" aca="1" ref="J26" ca="1">AverageStipeDiameter(I26)</f>
        <v>49.4</v>
      </c>
    </row>
    <row r="27" spans="1:10" x14ac:dyDescent="0.35">
      <c r="A27" s="27">
        <v>12</v>
      </c>
      <c r="B27" s="7">
        <v>2</v>
      </c>
      <c r="C27" s="7">
        <v>15</v>
      </c>
      <c r="D27" t="str">
        <f t="shared" ca="1" si="2"/>
        <v>48, 49, 36, 30, 78, 82, 41, 72, 62, 53</v>
      </c>
      <c r="E27" s="54" cm="1">
        <f t="array" aca="1" ref="E27" ca="1">AverageStipeDiameter(D27)</f>
        <v>55.1</v>
      </c>
      <c r="F27" s="29">
        <v>32</v>
      </c>
      <c r="G27" s="7">
        <v>2</v>
      </c>
      <c r="H27" s="7">
        <f t="shared" ca="1" si="0"/>
        <v>14</v>
      </c>
      <c r="I27" t="str">
        <f t="shared" ca="1" si="1"/>
        <v>43, 67, 32, 69, 52, 85, 51, 41, 78, 82</v>
      </c>
      <c r="J27" s="92" cm="1">
        <f t="array" aca="1" ref="J27" ca="1">AverageStipeDiameter(I27)</f>
        <v>60</v>
      </c>
    </row>
    <row r="28" spans="1:10" x14ac:dyDescent="0.35">
      <c r="A28" s="27">
        <v>13</v>
      </c>
      <c r="B28" s="7">
        <v>2</v>
      </c>
      <c r="C28" s="7">
        <v>12</v>
      </c>
      <c r="D28" t="str">
        <f t="shared" ca="1" si="2"/>
        <v>21, 44, 65, 21, 24, 21, 27, 58, 30, 28</v>
      </c>
      <c r="E28" s="54" cm="1">
        <f t="array" aca="1" ref="E28" ca="1">AverageStipeDiameter(D28)</f>
        <v>33.9</v>
      </c>
      <c r="F28" s="29">
        <v>33</v>
      </c>
      <c r="G28" s="7">
        <v>2</v>
      </c>
      <c r="H28" s="7">
        <f t="shared" ca="1" si="0"/>
        <v>15</v>
      </c>
      <c r="I28" t="str">
        <f t="shared" ca="1" si="1"/>
        <v>38, 25, 28, 44, 23, 38, 47, 44, 51, 72</v>
      </c>
      <c r="J28" s="92" cm="1">
        <f t="array" aca="1" ref="J28" ca="1">AverageStipeDiameter(I28)</f>
        <v>41</v>
      </c>
    </row>
    <row r="29" spans="1:10" x14ac:dyDescent="0.35">
      <c r="A29" s="27">
        <v>14</v>
      </c>
      <c r="B29" s="7">
        <v>0</v>
      </c>
      <c r="C29" s="7">
        <f ca="1">RANDBETWEEN(1,25)</f>
        <v>7</v>
      </c>
      <c r="D29" t="str">
        <f t="shared" ca="1" si="2"/>
        <v>32, 54, 20, 37, 40, 29, 74, 84, 53, 65</v>
      </c>
      <c r="E29" s="54" cm="1">
        <f t="array" aca="1" ref="E29" ca="1">AverageStipeDiameter(D29)</f>
        <v>48.8</v>
      </c>
      <c r="F29" s="29">
        <v>34</v>
      </c>
      <c r="G29" s="7">
        <v>0</v>
      </c>
      <c r="H29" s="7">
        <f t="shared" ca="1" si="0"/>
        <v>23</v>
      </c>
      <c r="I29" t="str">
        <f t="shared" ca="1" si="1"/>
        <v>35, 23, 62, 37, 49, 56, 39, 44, 26, 41</v>
      </c>
      <c r="J29" s="92" cm="1">
        <f t="array" aca="1" ref="J29" ca="1">AverageStipeDiameter(I29)</f>
        <v>41.2</v>
      </c>
    </row>
    <row r="30" spans="1:10" x14ac:dyDescent="0.35">
      <c r="A30" s="27">
        <v>15</v>
      </c>
      <c r="B30" s="7">
        <v>0</v>
      </c>
      <c r="C30" s="7">
        <f t="shared" ref="C30:C35" ca="1" si="3">RANDBETWEEN(1,25)</f>
        <v>3</v>
      </c>
      <c r="D30" t="str">
        <f t="shared" ca="1" si="2"/>
        <v>53, 78, 75, 75, 59, 78, 78, 79, 55, 62</v>
      </c>
      <c r="E30" s="54" cm="1">
        <f t="array" aca="1" ref="E30" ca="1">AverageStipeDiameter(D30)</f>
        <v>69.2</v>
      </c>
      <c r="F30" s="29">
        <v>35</v>
      </c>
      <c r="G30" s="7">
        <v>0</v>
      </c>
      <c r="H30" s="7">
        <f t="shared" ca="1" si="0"/>
        <v>14</v>
      </c>
      <c r="I30" t="str">
        <f t="shared" ca="1" si="1"/>
        <v>21, 54, 45, 22, 38, 28, 69, 72, 79, 83</v>
      </c>
      <c r="J30" s="92" cm="1">
        <f t="array" aca="1" ref="J30" ca="1">AverageStipeDiameter(I30)</f>
        <v>51.1</v>
      </c>
    </row>
    <row r="31" spans="1:10" x14ac:dyDescent="0.35">
      <c r="A31" s="27">
        <v>16</v>
      </c>
      <c r="B31" s="7">
        <v>0.5</v>
      </c>
      <c r="C31" s="7">
        <f t="shared" ca="1" si="3"/>
        <v>10</v>
      </c>
      <c r="D31" t="str">
        <f t="shared" ca="1" si="2"/>
        <v>24, 81, 35, 27, 65, 84, 31, 52, 36, 38</v>
      </c>
      <c r="E31" s="54" cm="1">
        <f t="array" aca="1" ref="E31" ca="1">AverageStipeDiameter(D31)</f>
        <v>47.3</v>
      </c>
      <c r="F31" s="29">
        <v>36</v>
      </c>
      <c r="G31" s="7">
        <v>0.5</v>
      </c>
      <c r="H31" s="7">
        <f t="shared" ca="1" si="0"/>
        <v>13</v>
      </c>
      <c r="I31" t="str">
        <f t="shared" ca="1" si="1"/>
        <v>57, 25, 57, 52, 66, 74, 68, 39, 77, 81</v>
      </c>
      <c r="J31" s="92" cm="1">
        <f t="array" aca="1" ref="J31" ca="1">AverageStipeDiameter(I31)</f>
        <v>59.6</v>
      </c>
    </row>
    <row r="32" spans="1:10" x14ac:dyDescent="0.35">
      <c r="A32" s="27">
        <v>17</v>
      </c>
      <c r="B32" s="7">
        <v>0.5</v>
      </c>
      <c r="C32" s="7">
        <f t="shared" ca="1" si="3"/>
        <v>23</v>
      </c>
      <c r="D32" t="str">
        <f t="shared" ca="1" si="2"/>
        <v>48, 46, 71, 36, 27, 75, 64, 45, 43, 29</v>
      </c>
      <c r="E32" s="54" cm="1">
        <f t="array" aca="1" ref="E32" ca="1">AverageStipeDiameter(D32)</f>
        <v>48.4</v>
      </c>
      <c r="F32" s="29">
        <v>37</v>
      </c>
      <c r="G32" s="7">
        <v>0.5</v>
      </c>
      <c r="H32" s="7">
        <f t="shared" ca="1" si="0"/>
        <v>12</v>
      </c>
      <c r="I32" t="str">
        <f t="shared" ca="1" si="1"/>
        <v>67, 71, 24, 82, 45, 34, 56, 25, 42, 50</v>
      </c>
      <c r="J32" s="92" cm="1">
        <f t="array" aca="1" ref="J32" ca="1">AverageStipeDiameter(I32)</f>
        <v>49.6</v>
      </c>
    </row>
    <row r="33" spans="1:10" x14ac:dyDescent="0.35">
      <c r="A33" s="27">
        <v>18</v>
      </c>
      <c r="B33" s="7">
        <v>1</v>
      </c>
      <c r="C33" s="7">
        <f t="shared" ca="1" si="3"/>
        <v>15</v>
      </c>
      <c r="D33" t="str">
        <f t="shared" ca="1" si="2"/>
        <v>44, 42, 52, 76, 24, 57, 34, 51, 59, 77</v>
      </c>
      <c r="E33" s="54" cm="1">
        <f t="array" aca="1" ref="E33" ca="1">AverageStipeDiameter(D33)</f>
        <v>51.6</v>
      </c>
      <c r="F33" s="29">
        <v>38</v>
      </c>
      <c r="G33" s="7">
        <v>1</v>
      </c>
      <c r="H33" s="7">
        <f t="shared" ca="1" si="0"/>
        <v>24</v>
      </c>
      <c r="I33" t="str">
        <f t="shared" ca="1" si="1"/>
        <v>38, 80, 57, 67, 31, 50, 57, 70, 42, 59</v>
      </c>
      <c r="J33" s="92" cm="1">
        <f t="array" aca="1" ref="J33" ca="1">AverageStipeDiameter(I33)</f>
        <v>55.1</v>
      </c>
    </row>
    <row r="34" spans="1:10" x14ac:dyDescent="0.35">
      <c r="A34" s="27">
        <v>19</v>
      </c>
      <c r="B34" s="7">
        <v>2</v>
      </c>
      <c r="C34" s="7">
        <f t="shared" ca="1" si="3"/>
        <v>17</v>
      </c>
      <c r="D34" t="str">
        <f t="shared" ca="1" si="2"/>
        <v>35, 48, 23, 68, 48, 27, 63, 41, 74, 84</v>
      </c>
      <c r="E34" s="54" cm="1">
        <f t="array" aca="1" ref="E34" ca="1">AverageStipeDiameter(D34)</f>
        <v>51.1</v>
      </c>
      <c r="F34" s="29">
        <v>39</v>
      </c>
      <c r="G34" s="7">
        <v>2</v>
      </c>
      <c r="H34" s="7">
        <f t="shared" ca="1" si="0"/>
        <v>8</v>
      </c>
      <c r="I34" t="str">
        <f t="shared" ca="1" si="1"/>
        <v>81, 62, 54, 55, 78, 60, 73, 75, 25, 46</v>
      </c>
      <c r="J34" s="92" cm="1">
        <f t="array" aca="1" ref="J34" ca="1">AverageStipeDiameter(I34)</f>
        <v>60.9</v>
      </c>
    </row>
    <row r="35" spans="1:10" ht="15" thickBot="1" x14ac:dyDescent="0.4">
      <c r="A35" s="28">
        <v>20</v>
      </c>
      <c r="B35" s="8">
        <v>3</v>
      </c>
      <c r="C35" s="7">
        <f t="shared" ca="1" si="3"/>
        <v>13</v>
      </c>
      <c r="D35" t="str">
        <f t="shared" ca="1" si="2"/>
        <v>66, 64, 70, 47, 26, 42, 58, 41, 33, 31</v>
      </c>
      <c r="E35" s="93" cm="1">
        <f t="array" aca="1" ref="E35" ca="1">AverageStipeDiameter(D35)</f>
        <v>47.8</v>
      </c>
      <c r="F35" s="30">
        <v>40</v>
      </c>
      <c r="G35" s="8">
        <v>3</v>
      </c>
      <c r="H35" s="7">
        <f t="shared" ca="1" si="0"/>
        <v>2</v>
      </c>
      <c r="I35" t="str">
        <f t="shared" ca="1" si="1"/>
        <v>56, 80, 51, 34, 57, 20, 84, 79, 79, 29</v>
      </c>
      <c r="J35" s="94" cm="1">
        <f t="array" aca="1" ref="J35" ca="1">AverageStipeDiameter(I35)</f>
        <v>56.9</v>
      </c>
    </row>
    <row r="36" spans="1:10" ht="17" thickBot="1" x14ac:dyDescent="0.4">
      <c r="A36" s="188" t="s">
        <v>133</v>
      </c>
      <c r="B36" s="189"/>
      <c r="C36" s="80">
        <v>1200</v>
      </c>
    </row>
    <row r="37" spans="1:10" ht="17" thickBot="1" x14ac:dyDescent="0.4">
      <c r="A37" s="186" t="s">
        <v>134</v>
      </c>
      <c r="B37" s="187"/>
      <c r="C37" s="81">
        <v>950</v>
      </c>
    </row>
    <row r="38" spans="1:10" ht="15" thickBot="1" x14ac:dyDescent="0.4">
      <c r="A38" s="182" t="s">
        <v>135</v>
      </c>
      <c r="B38" s="183"/>
      <c r="C38" s="78" cm="1">
        <f t="array" ref="C38">Bryozoans(B16:B35,G16:G35)</f>
        <v>16.666666666666668</v>
      </c>
    </row>
    <row r="39" spans="1:10" ht="15" thickBot="1" x14ac:dyDescent="0.4">
      <c r="A39" s="184" t="s">
        <v>136</v>
      </c>
      <c r="B39" s="185"/>
      <c r="C39" s="79" cm="1">
        <f t="array" aca="1" ref="C39" ca="1">AverageCSVcols(D16:D35,I16:I35)</f>
        <v>51.615000000000002</v>
      </c>
    </row>
    <row r="40" spans="1:10" ht="15" thickBot="1" x14ac:dyDescent="0.4">
      <c r="A40" s="186" t="s">
        <v>137</v>
      </c>
      <c r="B40" s="187"/>
      <c r="C40" s="77">
        <f ca="1">AVERAGE(C16:C35,H16:H35)</f>
        <v>13.425000000000001</v>
      </c>
    </row>
  </sheetData>
  <mergeCells count="24">
    <mergeCell ref="A38:B38"/>
    <mergeCell ref="A39:B39"/>
    <mergeCell ref="A40:B40"/>
    <mergeCell ref="A4:B4"/>
    <mergeCell ref="C4:D4"/>
    <mergeCell ref="A36:B36"/>
    <mergeCell ref="A37:B37"/>
    <mergeCell ref="G8:J8"/>
    <mergeCell ref="I9:J9"/>
    <mergeCell ref="A5:B5"/>
    <mergeCell ref="C5:D5"/>
    <mergeCell ref="A6:B6"/>
    <mergeCell ref="C6:D6"/>
    <mergeCell ref="A7:F7"/>
    <mergeCell ref="I11:J11"/>
    <mergeCell ref="I12:J12"/>
    <mergeCell ref="H13:J13"/>
    <mergeCell ref="A14:J14"/>
    <mergeCell ref="I10:J10"/>
    <mergeCell ref="A1:J1"/>
    <mergeCell ref="A2:B2"/>
    <mergeCell ref="C2:D2"/>
    <mergeCell ref="A3:B3"/>
    <mergeCell ref="C3:D3"/>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8A93CB-93CE-4D35-801E-7185B6F228D9}">
  <sheetPr codeName="Sheet10">
    <tabColor theme="8" tint="0.39997558519241921"/>
  </sheetPr>
  <dimension ref="A1:J40"/>
  <sheetViews>
    <sheetView zoomScale="80" zoomScaleNormal="80" workbookViewId="0">
      <selection activeCell="C3" sqref="C3:D3"/>
    </sheetView>
  </sheetViews>
  <sheetFormatPr defaultRowHeight="14.5" x14ac:dyDescent="0.35"/>
  <cols>
    <col min="1" max="1" width="8.81640625" customWidth="1"/>
    <col min="2" max="2" width="12.1796875" bestFit="1" customWidth="1"/>
    <col min="3" max="3" width="10.1796875" customWidth="1"/>
    <col min="4" max="4" width="27" customWidth="1"/>
    <col min="5" max="5" width="21.1796875" customWidth="1"/>
    <col min="6" max="6" width="9.1796875" customWidth="1"/>
    <col min="7" max="7" width="20.81640625" customWidth="1"/>
    <col min="8" max="8" width="12.1796875" bestFit="1" customWidth="1"/>
    <col min="9" max="9" width="17.81640625" bestFit="1" customWidth="1"/>
    <col min="10" max="10" width="10.81640625" customWidth="1"/>
  </cols>
  <sheetData>
    <row r="1" spans="1:10" ht="15" thickBot="1" x14ac:dyDescent="0.4">
      <c r="A1" s="191" t="s">
        <v>66</v>
      </c>
      <c r="B1" s="192"/>
      <c r="C1" s="157"/>
      <c r="D1" s="157"/>
      <c r="E1" s="192"/>
      <c r="F1" s="192"/>
      <c r="G1" s="192"/>
      <c r="H1" s="192"/>
      <c r="I1" s="192"/>
      <c r="J1" s="193"/>
    </row>
    <row r="2" spans="1:10" x14ac:dyDescent="0.35">
      <c r="A2" s="194" t="s">
        <v>67</v>
      </c>
      <c r="B2" s="195"/>
      <c r="C2" s="170" t="s">
        <v>143</v>
      </c>
      <c r="D2" s="196"/>
      <c r="E2" s="39" t="s">
        <v>69</v>
      </c>
      <c r="F2" s="9"/>
      <c r="G2" s="18" t="s">
        <v>70</v>
      </c>
      <c r="H2" s="17"/>
      <c r="I2" s="19" t="s">
        <v>71</v>
      </c>
      <c r="J2" s="16"/>
    </row>
    <row r="3" spans="1:10" x14ac:dyDescent="0.35">
      <c r="A3" s="166" t="s">
        <v>72</v>
      </c>
      <c r="B3" s="172"/>
      <c r="C3" s="151" t="s">
        <v>177</v>
      </c>
      <c r="D3" s="152"/>
      <c r="E3" s="40" t="s">
        <v>73</v>
      </c>
      <c r="F3" s="12"/>
      <c r="G3" s="20" t="s">
        <v>74</v>
      </c>
      <c r="H3" s="20" t="s">
        <v>75</v>
      </c>
      <c r="I3" s="20" t="s">
        <v>76</v>
      </c>
      <c r="J3" s="22" t="s">
        <v>77</v>
      </c>
    </row>
    <row r="4" spans="1:10" x14ac:dyDescent="0.35">
      <c r="A4" s="166" t="s">
        <v>141</v>
      </c>
      <c r="B4" s="172"/>
      <c r="C4" s="151">
        <v>2019</v>
      </c>
      <c r="D4" s="173"/>
      <c r="E4" s="40"/>
      <c r="F4" s="12"/>
      <c r="G4" s="20"/>
      <c r="H4" s="20"/>
      <c r="I4" s="20"/>
      <c r="J4" s="22"/>
    </row>
    <row r="5" spans="1:10" x14ac:dyDescent="0.35">
      <c r="A5" s="166" t="s">
        <v>79</v>
      </c>
      <c r="B5" s="172"/>
      <c r="C5" s="153">
        <v>43681</v>
      </c>
      <c r="D5" s="152"/>
      <c r="E5" s="141" t="s">
        <v>80</v>
      </c>
      <c r="F5" s="10"/>
      <c r="G5" s="20" t="s">
        <v>81</v>
      </c>
      <c r="H5" s="3"/>
      <c r="I5" s="3"/>
      <c r="J5" s="4"/>
    </row>
    <row r="6" spans="1:10" ht="15" thickBot="1" x14ac:dyDescent="0.4">
      <c r="A6" s="168" t="s">
        <v>82</v>
      </c>
      <c r="B6" s="190"/>
      <c r="C6" s="154" t="s">
        <v>142</v>
      </c>
      <c r="D6" s="155"/>
      <c r="E6" s="144"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0.5</v>
      </c>
      <c r="C16" s="7">
        <v>5</v>
      </c>
      <c r="D16" t="str">
        <f ca="1">_xlfn.TEXTJOIN(", ", TRUE, RANDBETWEEN(20, 85), RANDBETWEEN(20, 85), RANDBETWEEN(20, 85), RANDBETWEEN(20, 85), RANDBETWEEN(20, 85), RANDBETWEEN(20, 85), RANDBETWEEN(20, 85), RANDBETWEEN(20, 85), RANDBETWEEN(20, 85), RANDBETWEEN(20, 85))</f>
        <v>24, 85, 75, 65, 55, 58, 35, 57, 64, 80</v>
      </c>
      <c r="E16" s="54" cm="1">
        <f t="array" aca="1" ref="E16" ca="1">AverageStipeDiameter(D16)</f>
        <v>59.8</v>
      </c>
      <c r="F16" s="29">
        <v>21</v>
      </c>
      <c r="G16" s="7"/>
      <c r="H16" s="7"/>
      <c r="J16" s="92" cm="1">
        <f t="array" ref="J16">AverageStipeDiameter(I16)</f>
        <v>0</v>
      </c>
    </row>
    <row r="17" spans="1:10" x14ac:dyDescent="0.35">
      <c r="A17" s="27">
        <v>2</v>
      </c>
      <c r="B17" s="7">
        <v>0.5</v>
      </c>
      <c r="C17" s="7">
        <v>15</v>
      </c>
      <c r="D17" t="str">
        <f t="shared" ref="D17:D33" ca="1" si="0">_xlfn.TEXTJOIN(", ", TRUE, RANDBETWEEN(20, 85), RANDBETWEEN(20, 85), RANDBETWEEN(20, 85), RANDBETWEEN(20, 85), RANDBETWEEN(20, 85), RANDBETWEEN(20, 85), RANDBETWEEN(20, 85), RANDBETWEEN(20, 85), RANDBETWEEN(20, 85), RANDBETWEEN(20, 85))</f>
        <v>73, 59, 64, 76, 57, 61, 68, 76, 72, 83</v>
      </c>
      <c r="E17" s="54" cm="1">
        <f t="array" aca="1" ref="E17" ca="1">AverageStipeDiameter(D17)</f>
        <v>68.900000000000006</v>
      </c>
      <c r="F17" s="29">
        <v>22</v>
      </c>
      <c r="G17" s="7"/>
      <c r="H17" s="7"/>
      <c r="I17" s="43"/>
      <c r="J17" s="92" cm="1">
        <f t="array" ref="J17">AverageStipeDiameter(I17)</f>
        <v>0</v>
      </c>
    </row>
    <row r="18" spans="1:10" x14ac:dyDescent="0.35">
      <c r="A18" s="27">
        <v>3</v>
      </c>
      <c r="B18" s="7">
        <v>1</v>
      </c>
      <c r="C18" s="7">
        <v>10</v>
      </c>
      <c r="D18" t="str">
        <f t="shared" ca="1" si="0"/>
        <v>73, 34, 68, 34, 20, 25, 48, 56, 49, 34</v>
      </c>
      <c r="E18" s="54" cm="1">
        <f t="array" aca="1" ref="E18" ca="1">AverageStipeDiameter(D18)</f>
        <v>44.1</v>
      </c>
      <c r="F18" s="29">
        <v>23</v>
      </c>
      <c r="G18" s="7"/>
      <c r="H18" s="7"/>
      <c r="I18" s="43"/>
      <c r="J18" s="92" cm="1">
        <f t="array" ref="J18">AverageStipeDiameter(I18)</f>
        <v>0</v>
      </c>
    </row>
    <row r="19" spans="1:10" x14ac:dyDescent="0.35">
      <c r="A19" s="27">
        <v>4</v>
      </c>
      <c r="B19" s="7">
        <v>1</v>
      </c>
      <c r="C19" s="7">
        <v>3</v>
      </c>
      <c r="D19" t="str">
        <f t="shared" ca="1" si="0"/>
        <v>47, 50, 67, 20, 61, 30, 45, 38, 27, 61</v>
      </c>
      <c r="E19" s="54" cm="1">
        <f t="array" aca="1" ref="E19" ca="1">AverageStipeDiameter(D19)</f>
        <v>44.6</v>
      </c>
      <c r="F19" s="29">
        <v>24</v>
      </c>
      <c r="G19" s="7"/>
      <c r="H19" s="7"/>
      <c r="I19" s="43"/>
      <c r="J19" s="92" cm="1">
        <f t="array" ref="J19">AverageStipeDiameter(I19)</f>
        <v>0</v>
      </c>
    </row>
    <row r="20" spans="1:10" x14ac:dyDescent="0.35">
      <c r="A20" s="27">
        <v>5</v>
      </c>
      <c r="B20" s="7">
        <v>1</v>
      </c>
      <c r="C20" s="7">
        <v>8</v>
      </c>
      <c r="D20" t="str">
        <f t="shared" ca="1" si="0"/>
        <v>33, 42, 62, 73, 40, 66, 76, 66, 57, 79</v>
      </c>
      <c r="E20" s="54" cm="1">
        <f t="array" aca="1" ref="E20" ca="1">AverageStipeDiameter(D20)</f>
        <v>59.4</v>
      </c>
      <c r="F20" s="29">
        <v>25</v>
      </c>
      <c r="G20" s="7"/>
      <c r="H20" s="7"/>
      <c r="I20" s="43"/>
      <c r="J20" s="92" cm="1">
        <f t="array" ref="J20">AverageStipeDiameter(I20)</f>
        <v>0</v>
      </c>
    </row>
    <row r="21" spans="1:10" x14ac:dyDescent="0.35">
      <c r="A21" s="27">
        <v>6</v>
      </c>
      <c r="B21" s="7">
        <v>1</v>
      </c>
      <c r="C21" s="7">
        <v>4</v>
      </c>
      <c r="D21" t="str">
        <f t="shared" ca="1" si="0"/>
        <v>40, 21, 27, 76, 60, 68, 30, 26, 29, 59</v>
      </c>
      <c r="E21" s="54" cm="1">
        <f t="array" aca="1" ref="E21" ca="1">AverageStipeDiameter(D21)</f>
        <v>43.6</v>
      </c>
      <c r="F21" s="29">
        <v>26</v>
      </c>
      <c r="G21" s="7"/>
      <c r="H21" s="7"/>
      <c r="I21" s="43"/>
      <c r="J21" s="92" cm="1">
        <f t="array" ref="J21">AverageStipeDiameter(I21)</f>
        <v>0</v>
      </c>
    </row>
    <row r="22" spans="1:10" x14ac:dyDescent="0.35">
      <c r="A22" s="27">
        <v>7</v>
      </c>
      <c r="B22" s="7">
        <v>0.5</v>
      </c>
      <c r="C22" s="7">
        <v>10</v>
      </c>
      <c r="D22" t="str">
        <f t="shared" ca="1" si="0"/>
        <v>78, 26, 41, 81, 41, 65, 41, 42, 36, 23</v>
      </c>
      <c r="E22" s="54" cm="1">
        <f t="array" aca="1" ref="E22" ca="1">AverageStipeDiameter(D22)</f>
        <v>47.4</v>
      </c>
      <c r="F22" s="29">
        <v>27</v>
      </c>
      <c r="G22" s="7"/>
      <c r="H22" s="7"/>
      <c r="I22" s="43"/>
      <c r="J22" s="92" cm="1">
        <f t="array" ref="J22">AverageStipeDiameter(I22)</f>
        <v>0</v>
      </c>
    </row>
    <row r="23" spans="1:10" x14ac:dyDescent="0.35">
      <c r="A23" s="27">
        <v>8</v>
      </c>
      <c r="B23" s="7">
        <v>2</v>
      </c>
      <c r="C23" s="7">
        <v>13</v>
      </c>
      <c r="D23" t="str">
        <f t="shared" ca="1" si="0"/>
        <v>22, 22, 85, 66, 41, 37, 26, 64, 64, 56</v>
      </c>
      <c r="E23" s="54" cm="1">
        <f t="array" aca="1" ref="E23" ca="1">AverageStipeDiameter(D23)</f>
        <v>48.3</v>
      </c>
      <c r="F23" s="29">
        <v>28</v>
      </c>
      <c r="G23" s="7"/>
      <c r="H23" s="7"/>
      <c r="I23" s="43"/>
      <c r="J23" s="92" cm="1">
        <f t="array" ref="J23">AverageStipeDiameter(I23)</f>
        <v>0</v>
      </c>
    </row>
    <row r="24" spans="1:10" x14ac:dyDescent="0.35">
      <c r="A24" s="27">
        <v>9</v>
      </c>
      <c r="B24" s="7">
        <v>1</v>
      </c>
      <c r="C24" s="7">
        <v>19</v>
      </c>
      <c r="D24" t="str">
        <f t="shared" ca="1" si="0"/>
        <v>42, 20, 43, 58, 53, 84, 80, 65, 74, 49</v>
      </c>
      <c r="E24" s="54" cm="1">
        <f t="array" aca="1" ref="E24" ca="1">AverageStipeDiameter(D24)</f>
        <v>56.8</v>
      </c>
      <c r="F24" s="29">
        <v>29</v>
      </c>
      <c r="G24" s="7"/>
      <c r="H24" s="7"/>
      <c r="I24" s="43"/>
      <c r="J24" s="92" cm="1">
        <f t="array" ref="J24">AverageStipeDiameter(I24)</f>
        <v>0</v>
      </c>
    </row>
    <row r="25" spans="1:10" x14ac:dyDescent="0.35">
      <c r="A25" s="27">
        <v>10</v>
      </c>
      <c r="B25" s="7">
        <v>1</v>
      </c>
      <c r="C25" s="7">
        <v>8</v>
      </c>
      <c r="D25" t="str">
        <f t="shared" ca="1" si="0"/>
        <v>20, 44, 47, 26, 66, 64, 55, 25, 60, 43</v>
      </c>
      <c r="E25" s="54" cm="1">
        <f t="array" aca="1" ref="E25" ca="1">AverageStipeDiameter(D25)</f>
        <v>45</v>
      </c>
      <c r="F25" s="29">
        <v>30</v>
      </c>
      <c r="G25" s="7"/>
      <c r="H25" s="7"/>
      <c r="I25" s="43"/>
      <c r="J25" s="92" cm="1">
        <f t="array" ref="J25">AverageStipeDiameter(I25)</f>
        <v>0</v>
      </c>
    </row>
    <row r="26" spans="1:10" x14ac:dyDescent="0.35">
      <c r="A26" s="27">
        <v>11</v>
      </c>
      <c r="B26" s="7">
        <v>2</v>
      </c>
      <c r="C26" s="7">
        <v>10</v>
      </c>
      <c r="D26" t="str">
        <f t="shared" ca="1" si="0"/>
        <v>63, 38, 36, 27, 50, 72, 37, 41, 33, 49</v>
      </c>
      <c r="E26" s="54" cm="1">
        <f t="array" aca="1" ref="E26" ca="1">AverageStipeDiameter(D26)</f>
        <v>44.6</v>
      </c>
      <c r="F26" s="29">
        <v>31</v>
      </c>
      <c r="G26" s="7"/>
      <c r="H26" s="7"/>
      <c r="I26" s="43"/>
      <c r="J26" s="92" cm="1">
        <f t="array" ref="J26">AverageStipeDiameter(I26)</f>
        <v>0</v>
      </c>
    </row>
    <row r="27" spans="1:10" x14ac:dyDescent="0.35">
      <c r="A27" s="27">
        <v>12</v>
      </c>
      <c r="B27" s="7">
        <v>2</v>
      </c>
      <c r="C27" s="7">
        <v>15</v>
      </c>
      <c r="D27" t="str">
        <f t="shared" ca="1" si="0"/>
        <v>49, 22, 27, 36, 83, 24, 32, 73, 58, 47</v>
      </c>
      <c r="E27" s="54" cm="1">
        <f t="array" aca="1" ref="E27" ca="1">AverageStipeDiameter(D27)</f>
        <v>45.1</v>
      </c>
      <c r="F27" s="29">
        <v>32</v>
      </c>
      <c r="G27" s="7"/>
      <c r="H27" s="7"/>
      <c r="I27" s="43"/>
      <c r="J27" s="92" cm="1">
        <f t="array" ref="J27">AverageStipeDiameter(I27)</f>
        <v>0</v>
      </c>
    </row>
    <row r="28" spans="1:10" x14ac:dyDescent="0.35">
      <c r="A28" s="27">
        <v>13</v>
      </c>
      <c r="B28" s="7">
        <v>2</v>
      </c>
      <c r="C28" s="7">
        <v>12</v>
      </c>
      <c r="D28" t="str">
        <f t="shared" ca="1" si="0"/>
        <v>30, 53, 48, 47, 60, 85, 81, 80, 48, 54</v>
      </c>
      <c r="E28" s="54" cm="1">
        <f t="array" aca="1" ref="E28" ca="1">AverageStipeDiameter(D28)</f>
        <v>58.6</v>
      </c>
      <c r="F28" s="29">
        <v>33</v>
      </c>
      <c r="G28" s="7"/>
      <c r="H28" s="7"/>
      <c r="I28" s="43"/>
      <c r="J28" s="92" cm="1">
        <f t="array" ref="J28">AverageStipeDiameter(I28)</f>
        <v>0</v>
      </c>
    </row>
    <row r="29" spans="1:10" x14ac:dyDescent="0.35">
      <c r="A29" s="27">
        <v>14</v>
      </c>
      <c r="B29" s="7">
        <v>4</v>
      </c>
      <c r="C29" s="7">
        <v>1</v>
      </c>
      <c r="D29" t="str">
        <f ca="1">_xlfn.TEXTJOIN(", ", TRUE, RANDBETWEEN(20, 85), RANDBETWEEN(20, 85), RANDBETWEEN(20, 85), RANDBETWEEN(20, 85), RANDBETWEEN(20, 85), RANDBETWEEN(20, 85), RANDBETWEEN(20, 85), RANDBETWEEN(20, 85), RANDBETWEEN(20, 85), RANDBETWEEN(20, 85))</f>
        <v>39, 77, 77, 46, 34, 52, 46, 78, 38, 44</v>
      </c>
      <c r="E29" s="54" cm="1">
        <f t="array" aca="1" ref="E29" ca="1">AverageStipeDiameter(D29)</f>
        <v>53.1</v>
      </c>
      <c r="F29" s="29">
        <v>34</v>
      </c>
      <c r="G29" s="7"/>
      <c r="H29" s="7"/>
      <c r="I29" s="43"/>
      <c r="J29" s="92" cm="1">
        <f t="array" ref="J29">AverageStipeDiameter(I29)</f>
        <v>0</v>
      </c>
    </row>
    <row r="30" spans="1:10" x14ac:dyDescent="0.35">
      <c r="A30" s="27">
        <v>15</v>
      </c>
      <c r="B30" s="7">
        <v>5</v>
      </c>
      <c r="C30" s="7">
        <v>6</v>
      </c>
      <c r="D30" t="str">
        <f t="shared" ca="1" si="0"/>
        <v>34, 63, 25, 59, 58, 28, 85, 25, 57, 67</v>
      </c>
      <c r="E30" s="54" cm="1">
        <f t="array" aca="1" ref="E30" ca="1">AverageStipeDiameter(D30)</f>
        <v>50.1</v>
      </c>
      <c r="F30" s="29">
        <v>35</v>
      </c>
      <c r="G30" s="7"/>
      <c r="H30" s="7"/>
      <c r="I30" s="43"/>
      <c r="J30" s="92" cm="1">
        <f t="array" ref="J30">AverageStipeDiameter(I30)</f>
        <v>0</v>
      </c>
    </row>
    <row r="31" spans="1:10" x14ac:dyDescent="0.35">
      <c r="A31" s="27">
        <v>16</v>
      </c>
      <c r="B31" s="7">
        <v>0</v>
      </c>
      <c r="C31" s="7">
        <v>33</v>
      </c>
      <c r="D31" t="str">
        <f t="shared" ca="1" si="0"/>
        <v>76, 82, 42, 22, 21, 81, 35, 78, 61, 46</v>
      </c>
      <c r="E31" s="54" cm="1">
        <f t="array" aca="1" ref="E31" ca="1">AverageStipeDiameter(D31)</f>
        <v>54.4</v>
      </c>
      <c r="F31" s="29">
        <v>36</v>
      </c>
      <c r="G31" s="7"/>
      <c r="H31" s="7"/>
      <c r="I31" s="43"/>
      <c r="J31" s="92" cm="1">
        <f t="array" ref="J31">AverageStipeDiameter(I31)</f>
        <v>0</v>
      </c>
    </row>
    <row r="32" spans="1:10" x14ac:dyDescent="0.35">
      <c r="A32" s="27">
        <v>17</v>
      </c>
      <c r="B32" s="7">
        <v>2</v>
      </c>
      <c r="C32" s="7">
        <v>2</v>
      </c>
      <c r="D32" t="str">
        <f t="shared" ca="1" si="0"/>
        <v>44, 20, 35, 83, 27, 44, 68, 21, 47, 54</v>
      </c>
      <c r="E32" s="54" cm="1">
        <f t="array" aca="1" ref="E32" ca="1">AverageStipeDiameter(D32)</f>
        <v>44.3</v>
      </c>
      <c r="F32" s="29">
        <v>37</v>
      </c>
      <c r="G32" s="7"/>
      <c r="H32" s="7"/>
      <c r="I32" s="43"/>
      <c r="J32" s="92" cm="1">
        <f t="array" ref="J32">AverageStipeDiameter(I32)</f>
        <v>0</v>
      </c>
    </row>
    <row r="33" spans="1:10" x14ac:dyDescent="0.35">
      <c r="A33" s="27">
        <v>18</v>
      </c>
      <c r="B33" s="7">
        <v>0.5</v>
      </c>
      <c r="C33" s="7">
        <v>34</v>
      </c>
      <c r="D33" t="str">
        <f t="shared" ca="1" si="0"/>
        <v>20, 37, 24, 43, 41, 38, 30, 33, 40, 20</v>
      </c>
      <c r="E33" s="54" cm="1">
        <f t="array" aca="1" ref="E33" ca="1">AverageStipeDiameter(D33)</f>
        <v>32.6</v>
      </c>
      <c r="F33" s="29">
        <v>38</v>
      </c>
      <c r="G33" s="7"/>
      <c r="H33" s="7"/>
      <c r="I33" s="43"/>
      <c r="J33" s="92" cm="1">
        <f t="array" ref="J33">AverageStipeDiameter(I33)</f>
        <v>0</v>
      </c>
    </row>
    <row r="34" spans="1:10" x14ac:dyDescent="0.35">
      <c r="A34" s="27">
        <v>19</v>
      </c>
      <c r="B34" s="7"/>
      <c r="C34" s="7"/>
      <c r="D34" s="142"/>
      <c r="E34" s="54" cm="1">
        <f t="array" ref="E34">AverageStipeDiameter(D34)</f>
        <v>0</v>
      </c>
      <c r="F34" s="29">
        <v>39</v>
      </c>
      <c r="G34" s="7"/>
      <c r="H34" s="7"/>
      <c r="I34" s="43"/>
      <c r="J34" s="92" cm="1">
        <f t="array" ref="J34">AverageStipeDiameter(I34)</f>
        <v>0</v>
      </c>
    </row>
    <row r="35" spans="1:10" ht="15" thickBot="1" x14ac:dyDescent="0.4">
      <c r="A35" s="28">
        <v>20</v>
      </c>
      <c r="B35" s="8"/>
      <c r="C35" s="8"/>
      <c r="D35" s="51"/>
      <c r="E35" s="93" cm="1">
        <f t="array" ref="E35">AverageStipeDiameter(D35)</f>
        <v>0</v>
      </c>
      <c r="F35" s="30">
        <v>40</v>
      </c>
      <c r="G35" s="8"/>
      <c r="H35" s="8"/>
      <c r="I35" s="44"/>
      <c r="J35" s="94" cm="1">
        <f t="array" ref="J35">AverageStipeDiameter(I35)</f>
        <v>0</v>
      </c>
    </row>
    <row r="36" spans="1:10" ht="17" thickBot="1" x14ac:dyDescent="0.4">
      <c r="A36" s="188" t="s">
        <v>133</v>
      </c>
      <c r="B36" s="189"/>
      <c r="C36" s="80">
        <v>1000</v>
      </c>
    </row>
    <row r="37" spans="1:10" ht="17" thickBot="1" x14ac:dyDescent="0.4">
      <c r="A37" s="186" t="s">
        <v>134</v>
      </c>
      <c r="B37" s="187"/>
      <c r="C37" s="81">
        <v>950</v>
      </c>
    </row>
    <row r="38" spans="1:10" ht="15" thickBot="1" x14ac:dyDescent="0.4">
      <c r="A38" s="182" t="s">
        <v>135</v>
      </c>
      <c r="B38" s="183"/>
      <c r="C38" s="78" cm="1">
        <f t="array" ref="C38">Bryozoans(B16:B35,G16:G35)</f>
        <v>23.235294117647058</v>
      </c>
    </row>
    <row r="39" spans="1:10" ht="15" thickBot="1" x14ac:dyDescent="0.4">
      <c r="A39" s="184" t="s">
        <v>136</v>
      </c>
      <c r="B39" s="185"/>
      <c r="C39" s="79" cm="1">
        <f t="array" aca="1" ref="C39" ca="1">AverageCSVcols(D16:D35,I16:I35)</f>
        <v>50.038888888888891</v>
      </c>
    </row>
    <row r="40" spans="1:10" ht="15" thickBot="1" x14ac:dyDescent="0.4">
      <c r="A40" s="186" t="s">
        <v>137</v>
      </c>
      <c r="B40" s="187"/>
      <c r="C40" s="77">
        <f>AVERAGE(C16:C35,H16:H35)</f>
        <v>11.555555555555555</v>
      </c>
    </row>
  </sheetData>
  <mergeCells count="24">
    <mergeCell ref="A36:B36"/>
    <mergeCell ref="A37:B37"/>
    <mergeCell ref="A38:B38"/>
    <mergeCell ref="A39:B39"/>
    <mergeCell ref="A40:B40"/>
    <mergeCell ref="A14:J14"/>
    <mergeCell ref="A5:B5"/>
    <mergeCell ref="C5:D5"/>
    <mergeCell ref="A6:B6"/>
    <mergeCell ref="C6:D6"/>
    <mergeCell ref="A7:F7"/>
    <mergeCell ref="G8:J8"/>
    <mergeCell ref="I9:J9"/>
    <mergeCell ref="I10:J10"/>
    <mergeCell ref="I11:J11"/>
    <mergeCell ref="I12:J12"/>
    <mergeCell ref="H13:J13"/>
    <mergeCell ref="A4:B4"/>
    <mergeCell ref="C4:D4"/>
    <mergeCell ref="A1:J1"/>
    <mergeCell ref="A2:B2"/>
    <mergeCell ref="C2:D2"/>
    <mergeCell ref="A3:B3"/>
    <mergeCell ref="C3:D3"/>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F1A78-A5F7-47A6-B931-0C37A15171FD}">
  <sheetPr codeName="Sheet13">
    <tabColor theme="8" tint="0.39997558519241921"/>
  </sheetPr>
  <dimension ref="A1:J40"/>
  <sheetViews>
    <sheetView zoomScale="80" zoomScaleNormal="80" workbookViewId="0">
      <selection activeCell="C4" sqref="C4:D4"/>
    </sheetView>
  </sheetViews>
  <sheetFormatPr defaultRowHeight="14.5" x14ac:dyDescent="0.35"/>
  <cols>
    <col min="1" max="1" width="8.81640625" customWidth="1"/>
    <col min="2" max="2" width="12.1796875" bestFit="1" customWidth="1"/>
    <col min="3" max="3" width="10.1796875" customWidth="1"/>
    <col min="4" max="4" width="27" customWidth="1"/>
    <col min="5" max="5" width="21.1796875" customWidth="1"/>
    <col min="6" max="6" width="9.1796875" customWidth="1"/>
    <col min="7" max="7" width="20.81640625" customWidth="1"/>
    <col min="8" max="8" width="11.1796875" customWidth="1"/>
    <col min="9" max="9" width="17.81640625" bestFit="1" customWidth="1"/>
    <col min="10" max="10" width="10.81640625" customWidth="1"/>
  </cols>
  <sheetData>
    <row r="1" spans="1:10" ht="15" thickBot="1" x14ac:dyDescent="0.4">
      <c r="A1" s="191" t="s">
        <v>66</v>
      </c>
      <c r="B1" s="192"/>
      <c r="C1" s="157"/>
      <c r="D1" s="157"/>
      <c r="E1" s="192"/>
      <c r="F1" s="192"/>
      <c r="G1" s="192"/>
      <c r="H1" s="192"/>
      <c r="I1" s="192"/>
      <c r="J1" s="193"/>
    </row>
    <row r="2" spans="1:10" x14ac:dyDescent="0.35">
      <c r="A2" s="194" t="s">
        <v>67</v>
      </c>
      <c r="B2" s="195"/>
      <c r="C2" s="170" t="s">
        <v>144</v>
      </c>
      <c r="D2" s="196"/>
      <c r="E2" s="39" t="s">
        <v>69</v>
      </c>
      <c r="F2" s="9"/>
      <c r="G2" s="18" t="s">
        <v>70</v>
      </c>
      <c r="H2" s="17"/>
      <c r="I2" s="19" t="s">
        <v>71</v>
      </c>
      <c r="J2" s="16"/>
    </row>
    <row r="3" spans="1:10" x14ac:dyDescent="0.35">
      <c r="A3" s="166" t="s">
        <v>72</v>
      </c>
      <c r="B3" s="172"/>
      <c r="C3" s="151" t="s">
        <v>178</v>
      </c>
      <c r="D3" s="152"/>
      <c r="E3" s="40" t="s">
        <v>73</v>
      </c>
      <c r="F3" s="12"/>
      <c r="G3" s="20" t="s">
        <v>74</v>
      </c>
      <c r="H3" s="20" t="s">
        <v>75</v>
      </c>
      <c r="I3" s="20" t="s">
        <v>76</v>
      </c>
      <c r="J3" s="22" t="s">
        <v>77</v>
      </c>
    </row>
    <row r="4" spans="1:10" x14ac:dyDescent="0.35">
      <c r="A4" s="166" t="s">
        <v>141</v>
      </c>
      <c r="B4" s="172"/>
      <c r="C4" s="151">
        <v>2019</v>
      </c>
      <c r="D4" s="173"/>
      <c r="E4" s="40"/>
      <c r="F4" s="12"/>
      <c r="G4" s="20"/>
      <c r="H4" s="20"/>
      <c r="I4" s="20"/>
      <c r="J4" s="22"/>
    </row>
    <row r="5" spans="1:10" x14ac:dyDescent="0.35">
      <c r="A5" s="166" t="s">
        <v>79</v>
      </c>
      <c r="B5" s="172"/>
      <c r="C5" s="153">
        <v>43681</v>
      </c>
      <c r="D5" s="152"/>
      <c r="E5" s="141" t="s">
        <v>80</v>
      </c>
      <c r="F5" s="10"/>
      <c r="G5" s="20" t="s">
        <v>81</v>
      </c>
      <c r="H5" s="3"/>
      <c r="I5" s="3"/>
      <c r="J5" s="4"/>
    </row>
    <row r="6" spans="1:10" ht="15" thickBot="1" x14ac:dyDescent="0.4">
      <c r="A6" s="168" t="s">
        <v>82</v>
      </c>
      <c r="B6" s="190"/>
      <c r="C6" s="154" t="s">
        <v>142</v>
      </c>
      <c r="D6" s="155"/>
      <c r="E6" s="144"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0.5</v>
      </c>
      <c r="C16" s="7">
        <v>5</v>
      </c>
      <c r="D16" t="str">
        <f ca="1">_xlfn.TEXTJOIN(", ", TRUE, RANDBETWEEN(20, 85), RANDBETWEEN(20, 85), RANDBETWEEN(20, 85), RANDBETWEEN(20, 85), RANDBETWEEN(20, 85), RANDBETWEEN(20, 85), RANDBETWEEN(20, 85), RANDBETWEEN(20, 85), RANDBETWEEN(20, 85), RANDBETWEEN(20, 85))</f>
        <v>81, 66, 81, 67, 39, 71, 23, 44, 23, 56</v>
      </c>
      <c r="E16" s="54" cm="1">
        <f t="array" aca="1" ref="E16" ca="1">AverageStipeDiameter(D16)</f>
        <v>55.1</v>
      </c>
      <c r="F16" s="29">
        <v>21</v>
      </c>
      <c r="G16" s="7">
        <v>1</v>
      </c>
      <c r="H16" s="7">
        <f t="shared" ref="H16:H19" ca="1" si="0">RANDBETWEEN(1,40)</f>
        <v>30</v>
      </c>
      <c r="I16" t="str">
        <f ca="1">_xlfn.TEXTJOIN(", ", TRUE, RANDBETWEEN(20, 85), RANDBETWEEN(20, 85), RANDBETWEEN(20, 85), RANDBETWEEN(20, 85), RANDBETWEEN(20, 85), RANDBETWEEN(20, 85), RANDBETWEEN(20, 85), RANDBETWEEN(20, 85), RANDBETWEEN(20, 85), RANDBETWEEN(20, 85))</f>
        <v>36, 43, 85, 23, 38, 80, 63, 51, 64, 24</v>
      </c>
      <c r="J16" s="92" cm="1">
        <f t="array" aca="1" ref="J16" ca="1">AverageStipeDiameter(I16)</f>
        <v>50.7</v>
      </c>
    </row>
    <row r="17" spans="1:10" x14ac:dyDescent="0.35">
      <c r="A17" s="27">
        <v>2</v>
      </c>
      <c r="B17" s="7">
        <v>0.5</v>
      </c>
      <c r="C17" s="7">
        <v>15</v>
      </c>
      <c r="D17" t="str">
        <f t="shared" ref="D17:D35" ca="1" si="1">_xlfn.TEXTJOIN(", ", TRUE, RANDBETWEEN(20, 85), RANDBETWEEN(20, 85), RANDBETWEEN(20, 85), RANDBETWEEN(20, 85), RANDBETWEEN(20, 85), RANDBETWEEN(20, 85), RANDBETWEEN(20, 85), RANDBETWEEN(20, 85), RANDBETWEEN(20, 85), RANDBETWEEN(20, 85))</f>
        <v>53, 83, 64, 76, 76, 27, 35, 75, 32, 61</v>
      </c>
      <c r="E17" s="54" cm="1">
        <f t="array" aca="1" ref="E17" ca="1">AverageStipeDiameter(D17)</f>
        <v>58.2</v>
      </c>
      <c r="F17" s="29">
        <v>22</v>
      </c>
      <c r="G17" s="7">
        <v>1</v>
      </c>
      <c r="H17" s="7">
        <f t="shared" ca="1" si="0"/>
        <v>3</v>
      </c>
      <c r="I17" s="142" t="str">
        <f t="shared" ref="I17:I19" ca="1" si="2">_xlfn.TEXTJOIN(", ", TRUE, RANDBETWEEN(20, 85), RANDBETWEEN(20, 85), RANDBETWEEN(20, 85), RANDBETWEEN(20, 85), RANDBETWEEN(20, 85), RANDBETWEEN(20, 85), RANDBETWEEN(20, 85), RANDBETWEEN(20, 85), RANDBETWEEN(20, 85), RANDBETWEEN(20, 85))</f>
        <v>40, 28, 43, 33, 46, 33, 61, 67, 72, 28</v>
      </c>
      <c r="J17" s="92" cm="1">
        <f t="array" aca="1" ref="J17" ca="1">AverageStipeDiameter(I17)</f>
        <v>45.1</v>
      </c>
    </row>
    <row r="18" spans="1:10" x14ac:dyDescent="0.35">
      <c r="A18" s="27">
        <v>3</v>
      </c>
      <c r="B18" s="7">
        <v>1</v>
      </c>
      <c r="C18" s="7">
        <v>10</v>
      </c>
      <c r="D18" t="str">
        <f t="shared" ca="1" si="1"/>
        <v>78, 83, 65, 51, 77, 46, 73, 83, 58, 25</v>
      </c>
      <c r="E18" s="54" cm="1">
        <f t="array" aca="1" ref="E18" ca="1">AverageStipeDiameter(D18)</f>
        <v>63.9</v>
      </c>
      <c r="F18" s="29">
        <v>23</v>
      </c>
      <c r="G18" s="7">
        <v>2</v>
      </c>
      <c r="H18" s="7">
        <f t="shared" ca="1" si="0"/>
        <v>39</v>
      </c>
      <c r="I18" s="142" t="str">
        <f t="shared" ca="1" si="2"/>
        <v>49, 80, 36, 69, 20, 46, 80, 48, 26, 70</v>
      </c>
      <c r="J18" s="92" cm="1">
        <f t="array" aca="1" ref="J18" ca="1">AverageStipeDiameter(I18)</f>
        <v>52.4</v>
      </c>
    </row>
    <row r="19" spans="1:10" x14ac:dyDescent="0.35">
      <c r="A19" s="27">
        <v>4</v>
      </c>
      <c r="B19" s="7">
        <v>1</v>
      </c>
      <c r="C19" s="7">
        <v>3</v>
      </c>
      <c r="D19" t="str">
        <f t="shared" ca="1" si="1"/>
        <v>30, 43, 32, 63, 32, 35, 67, 21, 54, 54</v>
      </c>
      <c r="E19" s="54" cm="1">
        <f t="array" aca="1" ref="E19" ca="1">AverageStipeDiameter(D19)</f>
        <v>43.1</v>
      </c>
      <c r="F19" s="29">
        <v>24</v>
      </c>
      <c r="G19" s="7">
        <v>0.5</v>
      </c>
      <c r="H19" s="7">
        <f t="shared" ca="1" si="0"/>
        <v>29</v>
      </c>
      <c r="I19" s="142" t="str">
        <f t="shared" ca="1" si="2"/>
        <v>31, 70, 80, 83, 63, 49, 79, 39, 45, 33</v>
      </c>
      <c r="J19" s="92" cm="1">
        <f t="array" aca="1" ref="J19" ca="1">AverageStipeDiameter(I19)</f>
        <v>57.2</v>
      </c>
    </row>
    <row r="20" spans="1:10" x14ac:dyDescent="0.35">
      <c r="A20" s="27">
        <v>5</v>
      </c>
      <c r="B20" s="7">
        <v>1</v>
      </c>
      <c r="C20" s="7">
        <v>8</v>
      </c>
      <c r="D20" t="str">
        <f t="shared" ca="1" si="1"/>
        <v>51, 82, 61, 62, 44, 65, 69, 48, 37, 74</v>
      </c>
      <c r="E20" s="54" cm="1">
        <f t="array" aca="1" ref="E20" ca="1">AverageStipeDiameter(D20)</f>
        <v>59.3</v>
      </c>
      <c r="F20" s="29">
        <v>25</v>
      </c>
      <c r="G20" s="7"/>
      <c r="H20" s="7"/>
      <c r="I20" s="43"/>
      <c r="J20" s="92" cm="1">
        <f t="array" ref="J20">AverageStipeDiameter(I20)</f>
        <v>0</v>
      </c>
    </row>
    <row r="21" spans="1:10" x14ac:dyDescent="0.35">
      <c r="A21" s="27">
        <v>6</v>
      </c>
      <c r="B21" s="7">
        <v>1</v>
      </c>
      <c r="C21" s="7">
        <v>4</v>
      </c>
      <c r="D21" t="str">
        <f t="shared" ca="1" si="1"/>
        <v>48, 46, 20, 57, 27, 65, 22, 47, 55, 28</v>
      </c>
      <c r="E21" s="54" cm="1">
        <f t="array" aca="1" ref="E21" ca="1">AverageStipeDiameter(D21)</f>
        <v>41.5</v>
      </c>
      <c r="F21" s="29">
        <v>26</v>
      </c>
      <c r="G21" s="7"/>
      <c r="H21" s="7"/>
      <c r="I21" s="43"/>
      <c r="J21" s="92" cm="1">
        <f t="array" ref="J21">AverageStipeDiameter(I21)</f>
        <v>0</v>
      </c>
    </row>
    <row r="22" spans="1:10" x14ac:dyDescent="0.35">
      <c r="A22" s="27">
        <v>7</v>
      </c>
      <c r="B22" s="7">
        <v>0.5</v>
      </c>
      <c r="C22" s="7">
        <v>10</v>
      </c>
      <c r="D22" t="str">
        <f t="shared" ca="1" si="1"/>
        <v>58, 22, 55, 63, 43, 36, 49, 56, 21, 26</v>
      </c>
      <c r="E22" s="54" cm="1">
        <f t="array" aca="1" ref="E22" ca="1">AverageStipeDiameter(D22)</f>
        <v>42.9</v>
      </c>
      <c r="F22" s="29">
        <v>27</v>
      </c>
      <c r="G22" s="7"/>
      <c r="H22" s="7"/>
      <c r="I22" s="43"/>
      <c r="J22" s="92" cm="1">
        <f t="array" ref="J22">AverageStipeDiameter(I22)</f>
        <v>0</v>
      </c>
    </row>
    <row r="23" spans="1:10" x14ac:dyDescent="0.35">
      <c r="A23" s="27">
        <v>8</v>
      </c>
      <c r="B23" s="7">
        <v>2</v>
      </c>
      <c r="C23" s="7">
        <v>13</v>
      </c>
      <c r="D23" t="str">
        <f t="shared" ca="1" si="1"/>
        <v>53, 53, 48, 60, 77, 63, 82, 72, 22, 72</v>
      </c>
      <c r="E23" s="54" cm="1">
        <f t="array" aca="1" ref="E23" ca="1">AverageStipeDiameter(D23)</f>
        <v>60.2</v>
      </c>
      <c r="F23" s="29">
        <v>28</v>
      </c>
      <c r="G23" s="7"/>
      <c r="H23" s="7"/>
      <c r="I23" s="43"/>
      <c r="J23" s="92" cm="1">
        <f t="array" ref="J23">AverageStipeDiameter(I23)</f>
        <v>0</v>
      </c>
    </row>
    <row r="24" spans="1:10" x14ac:dyDescent="0.35">
      <c r="A24" s="27">
        <v>9</v>
      </c>
      <c r="B24" s="7">
        <v>1</v>
      </c>
      <c r="C24" s="7">
        <v>19</v>
      </c>
      <c r="D24" t="str">
        <f t="shared" ca="1" si="1"/>
        <v>47, 34, 26, 83, 43, 75, 82, 26, 35, 70</v>
      </c>
      <c r="E24" s="54" cm="1">
        <f t="array" aca="1" ref="E24" ca="1">AverageStipeDiameter(D24)</f>
        <v>52.1</v>
      </c>
      <c r="F24" s="29">
        <v>29</v>
      </c>
      <c r="G24" s="7"/>
      <c r="H24" s="7"/>
      <c r="I24" s="43"/>
      <c r="J24" s="92" cm="1">
        <f t="array" ref="J24">AverageStipeDiameter(I24)</f>
        <v>0</v>
      </c>
    </row>
    <row r="25" spans="1:10" x14ac:dyDescent="0.35">
      <c r="A25" s="27">
        <v>10</v>
      </c>
      <c r="B25" s="7">
        <v>1</v>
      </c>
      <c r="C25" s="7">
        <v>8</v>
      </c>
      <c r="D25" t="str">
        <f t="shared" ca="1" si="1"/>
        <v>21, 71, 69, 45, 45, 39, 75, 31, 61, 55</v>
      </c>
      <c r="E25" s="54" cm="1">
        <f t="array" aca="1" ref="E25" ca="1">AverageStipeDiameter(D25)</f>
        <v>51.2</v>
      </c>
      <c r="F25" s="29">
        <v>30</v>
      </c>
      <c r="G25" s="7"/>
      <c r="H25" s="7"/>
      <c r="I25" s="43"/>
      <c r="J25" s="92" cm="1">
        <f t="array" ref="J25">AverageStipeDiameter(I25)</f>
        <v>0</v>
      </c>
    </row>
    <row r="26" spans="1:10" x14ac:dyDescent="0.35">
      <c r="A26" s="27">
        <v>11</v>
      </c>
      <c r="B26" s="7">
        <v>2</v>
      </c>
      <c r="C26" s="7">
        <v>10</v>
      </c>
      <c r="D26" t="str">
        <f t="shared" ca="1" si="1"/>
        <v>73, 38, 62, 40, 77, 31, 80, 26, 40, 78</v>
      </c>
      <c r="E26" s="54" cm="1">
        <f t="array" aca="1" ref="E26" ca="1">AverageStipeDiameter(D26)</f>
        <v>54.5</v>
      </c>
      <c r="F26" s="29">
        <v>31</v>
      </c>
      <c r="G26" s="7"/>
      <c r="H26" s="7"/>
      <c r="I26" s="43"/>
      <c r="J26" s="92" cm="1">
        <f t="array" ref="J26">AverageStipeDiameter(I26)</f>
        <v>0</v>
      </c>
    </row>
    <row r="27" spans="1:10" x14ac:dyDescent="0.35">
      <c r="A27" s="27">
        <v>12</v>
      </c>
      <c r="B27" s="7">
        <v>2</v>
      </c>
      <c r="C27" s="7">
        <v>15</v>
      </c>
      <c r="D27" t="str">
        <f t="shared" ca="1" si="1"/>
        <v>47, 81, 63, 23, 34, 75, 22, 75, 79, 41</v>
      </c>
      <c r="E27" s="54" cm="1">
        <f t="array" aca="1" ref="E27" ca="1">AverageStipeDiameter(D27)</f>
        <v>54</v>
      </c>
      <c r="F27" s="29">
        <v>32</v>
      </c>
      <c r="G27" s="7"/>
      <c r="H27" s="7"/>
      <c r="I27" s="43"/>
      <c r="J27" s="92" cm="1">
        <f t="array" ref="J27">AverageStipeDiameter(I27)</f>
        <v>0</v>
      </c>
    </row>
    <row r="28" spans="1:10" x14ac:dyDescent="0.35">
      <c r="A28" s="27">
        <v>13</v>
      </c>
      <c r="B28" s="7">
        <v>2</v>
      </c>
      <c r="C28" s="7">
        <v>12</v>
      </c>
      <c r="D28" t="str">
        <f t="shared" ca="1" si="1"/>
        <v>32, 74, 66, 23, 60, 43, 53, 52, 37, 22</v>
      </c>
      <c r="E28" s="54" cm="1">
        <f t="array" aca="1" ref="E28" ca="1">AverageStipeDiameter(D28)</f>
        <v>46.2</v>
      </c>
      <c r="F28" s="29">
        <v>33</v>
      </c>
      <c r="G28" s="7"/>
      <c r="H28" s="7"/>
      <c r="I28" s="43"/>
      <c r="J28" s="92" cm="1">
        <f t="array" ref="J28">AverageStipeDiameter(I28)</f>
        <v>0</v>
      </c>
    </row>
    <row r="29" spans="1:10" x14ac:dyDescent="0.35">
      <c r="A29" s="27">
        <v>14</v>
      </c>
      <c r="B29" s="7">
        <v>5</v>
      </c>
      <c r="C29" s="7">
        <f ca="1">RANDBETWEEN(1,40)</f>
        <v>7</v>
      </c>
      <c r="D29" t="str">
        <f ca="1">_xlfn.TEXTJOIN(", ", TRUE, RANDBETWEEN(20, 85), RANDBETWEEN(20, 85), RANDBETWEEN(20, 85), RANDBETWEEN(20, 85), RANDBETWEEN(20, 85), RANDBETWEEN(20, 85), RANDBETWEEN(20, 85), RANDBETWEEN(20, 85), RANDBETWEEN(20, 85), RANDBETWEEN(20, 85))</f>
        <v>21, 22, 52, 62, 28, 25, 24, 25, 77, 39</v>
      </c>
      <c r="E29" s="54" cm="1">
        <f t="array" aca="1" ref="E29" ca="1">AverageStipeDiameter(D29)</f>
        <v>37.5</v>
      </c>
      <c r="F29" s="29">
        <v>34</v>
      </c>
      <c r="G29" s="7"/>
      <c r="H29" s="7"/>
      <c r="I29" s="43"/>
      <c r="J29" s="92" cm="1">
        <f t="array" ref="J29">AverageStipeDiameter(I29)</f>
        <v>0</v>
      </c>
    </row>
    <row r="30" spans="1:10" x14ac:dyDescent="0.35">
      <c r="A30" s="27">
        <v>15</v>
      </c>
      <c r="B30" s="7">
        <v>0.5</v>
      </c>
      <c r="C30" s="7">
        <f t="shared" ref="C30:C35" ca="1" si="3">RANDBETWEEN(1,40)</f>
        <v>14</v>
      </c>
      <c r="D30" t="str">
        <f t="shared" ca="1" si="1"/>
        <v>55, 23, 72, 41, 34, 75, 57, 25, 85, 65</v>
      </c>
      <c r="E30" s="54" cm="1">
        <f t="array" aca="1" ref="E30" ca="1">AverageStipeDiameter(D30)</f>
        <v>53.2</v>
      </c>
      <c r="F30" s="29">
        <v>35</v>
      </c>
      <c r="G30" s="7"/>
      <c r="H30" s="7"/>
      <c r="I30" s="43"/>
      <c r="J30" s="92" cm="1">
        <f t="array" ref="J30">AverageStipeDiameter(I30)</f>
        <v>0</v>
      </c>
    </row>
    <row r="31" spans="1:10" x14ac:dyDescent="0.35">
      <c r="A31" s="27">
        <v>16</v>
      </c>
      <c r="B31" s="7">
        <v>2</v>
      </c>
      <c r="C31" s="7">
        <f t="shared" ca="1" si="3"/>
        <v>20</v>
      </c>
      <c r="D31" t="str">
        <f t="shared" ca="1" si="1"/>
        <v>25, 24, 74, 76, 43, 53, 81, 57, 85, 71</v>
      </c>
      <c r="E31" s="54" cm="1">
        <f t="array" aca="1" ref="E31" ca="1">AverageStipeDiameter(D31)</f>
        <v>58.9</v>
      </c>
      <c r="F31" s="29">
        <v>36</v>
      </c>
      <c r="G31" s="7"/>
      <c r="H31" s="7"/>
      <c r="I31" s="43"/>
      <c r="J31" s="92" cm="1">
        <f t="array" ref="J31">AverageStipeDiameter(I31)</f>
        <v>0</v>
      </c>
    </row>
    <row r="32" spans="1:10" x14ac:dyDescent="0.35">
      <c r="A32" s="27">
        <v>17</v>
      </c>
      <c r="B32" s="7">
        <v>4</v>
      </c>
      <c r="C32" s="7">
        <f t="shared" ca="1" si="3"/>
        <v>23</v>
      </c>
      <c r="D32" t="str">
        <f t="shared" ca="1" si="1"/>
        <v>66, 51, 41, 39, 73, 79, 35, 53, 41, 35</v>
      </c>
      <c r="E32" s="54" cm="1">
        <f t="array" aca="1" ref="E32" ca="1">AverageStipeDiameter(D32)</f>
        <v>51.3</v>
      </c>
      <c r="F32" s="29">
        <v>37</v>
      </c>
      <c r="G32" s="7"/>
      <c r="H32" s="7"/>
      <c r="I32" s="43"/>
      <c r="J32" s="92" cm="1">
        <f t="array" ref="J32">AverageStipeDiameter(I32)</f>
        <v>0</v>
      </c>
    </row>
    <row r="33" spans="1:10" x14ac:dyDescent="0.35">
      <c r="A33" s="27">
        <v>18</v>
      </c>
      <c r="B33" s="7">
        <v>1</v>
      </c>
      <c r="C33" s="7">
        <f t="shared" ca="1" si="3"/>
        <v>1</v>
      </c>
      <c r="D33" t="str">
        <f t="shared" ca="1" si="1"/>
        <v>33, 45, 68, 51, 37, 33, 37, 70, 45, 40</v>
      </c>
      <c r="E33" s="54" cm="1">
        <f t="array" aca="1" ref="E33" ca="1">AverageStipeDiameter(D33)</f>
        <v>45.9</v>
      </c>
      <c r="F33" s="29">
        <v>38</v>
      </c>
      <c r="G33" s="7"/>
      <c r="H33" s="7"/>
      <c r="I33" s="43"/>
      <c r="J33" s="92" cm="1">
        <f t="array" ref="J33">AverageStipeDiameter(I33)</f>
        <v>0</v>
      </c>
    </row>
    <row r="34" spans="1:10" x14ac:dyDescent="0.35">
      <c r="A34" s="27">
        <v>19</v>
      </c>
      <c r="B34" s="7">
        <v>0.5</v>
      </c>
      <c r="C34" s="7">
        <f t="shared" ca="1" si="3"/>
        <v>14</v>
      </c>
      <c r="D34" t="str">
        <f t="shared" ca="1" si="1"/>
        <v>84, 77, 55, 62, 35, 48, 64, 80, 64, 53</v>
      </c>
      <c r="E34" s="54" cm="1">
        <f t="array" aca="1" ref="E34" ca="1">AverageStipeDiameter(D34)</f>
        <v>62.2</v>
      </c>
      <c r="F34" s="29">
        <v>39</v>
      </c>
      <c r="G34" s="7"/>
      <c r="H34" s="7"/>
      <c r="I34" s="43"/>
      <c r="J34" s="92" cm="1">
        <f t="array" ref="J34">AverageStipeDiameter(I34)</f>
        <v>0</v>
      </c>
    </row>
    <row r="35" spans="1:10" ht="15" thickBot="1" x14ac:dyDescent="0.4">
      <c r="A35" s="28">
        <v>20</v>
      </c>
      <c r="B35" s="8">
        <v>2</v>
      </c>
      <c r="C35" s="7">
        <f t="shared" ca="1" si="3"/>
        <v>13</v>
      </c>
      <c r="D35" t="str">
        <f t="shared" ca="1" si="1"/>
        <v>79, 75, 74, 76, 38, 61, 44, 78, 56, 62</v>
      </c>
      <c r="E35" s="93" cm="1">
        <f t="array" aca="1" ref="E35" ca="1">AverageStipeDiameter(D35)</f>
        <v>64.3</v>
      </c>
      <c r="F35" s="30">
        <v>40</v>
      </c>
      <c r="G35" s="8"/>
      <c r="H35" s="8"/>
      <c r="I35" s="44"/>
      <c r="J35" s="94" cm="1">
        <f t="array" ref="J35">AverageStipeDiameter(I35)</f>
        <v>0</v>
      </c>
    </row>
    <row r="36" spans="1:10" ht="17" thickBot="1" x14ac:dyDescent="0.4">
      <c r="A36" s="188" t="s">
        <v>133</v>
      </c>
      <c r="B36" s="189"/>
      <c r="C36" s="80">
        <v>750</v>
      </c>
    </row>
    <row r="37" spans="1:10" ht="17" thickBot="1" x14ac:dyDescent="0.4">
      <c r="A37" s="186" t="s">
        <v>134</v>
      </c>
      <c r="B37" s="187"/>
      <c r="C37" s="81">
        <v>950</v>
      </c>
    </row>
    <row r="38" spans="1:10" ht="15" thickBot="1" x14ac:dyDescent="0.4">
      <c r="A38" s="182" t="s">
        <v>135</v>
      </c>
      <c r="B38" s="183"/>
      <c r="C38" s="78" cm="1">
        <f t="array" ref="C38">Bryozoans(B16:B35,G16:G35)</f>
        <v>20.729166666666668</v>
      </c>
    </row>
    <row r="39" spans="1:10" ht="15" thickBot="1" x14ac:dyDescent="0.4">
      <c r="A39" s="184" t="s">
        <v>136</v>
      </c>
      <c r="B39" s="185"/>
      <c r="C39" s="79" cm="1">
        <f t="array" aca="1" ref="C39" ca="1">AverageCSVcols(D16:D35,I16:I35)</f>
        <v>52.537500000000001</v>
      </c>
    </row>
    <row r="40" spans="1:10" ht="15" thickBot="1" x14ac:dyDescent="0.4">
      <c r="A40" s="186" t="s">
        <v>137</v>
      </c>
      <c r="B40" s="187"/>
      <c r="C40" s="77">
        <f ca="1">AVERAGE(C16:C35,H16:H35)</f>
        <v>13.541666666666666</v>
      </c>
    </row>
  </sheetData>
  <mergeCells count="24">
    <mergeCell ref="A36:B36"/>
    <mergeCell ref="A37:B37"/>
    <mergeCell ref="A38:B38"/>
    <mergeCell ref="A39:B39"/>
    <mergeCell ref="A40:B40"/>
    <mergeCell ref="A14:J14"/>
    <mergeCell ref="A5:B5"/>
    <mergeCell ref="C5:D5"/>
    <mergeCell ref="A6:B6"/>
    <mergeCell ref="C6:D6"/>
    <mergeCell ref="A7:F7"/>
    <mergeCell ref="G8:J8"/>
    <mergeCell ref="I9:J9"/>
    <mergeCell ref="I10:J10"/>
    <mergeCell ref="I11:J11"/>
    <mergeCell ref="I12:J12"/>
    <mergeCell ref="H13:J13"/>
    <mergeCell ref="A4:B4"/>
    <mergeCell ref="C4:D4"/>
    <mergeCell ref="A1:J1"/>
    <mergeCell ref="A2:B2"/>
    <mergeCell ref="C2:D2"/>
    <mergeCell ref="A3:B3"/>
    <mergeCell ref="C3:D3"/>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083568-78B1-4D68-93E3-17CDF3E61FAC}">
  <sheetPr codeName="Sheet11">
    <tabColor theme="8" tint="0.39997558519241921"/>
  </sheetPr>
  <dimension ref="A1:J40"/>
  <sheetViews>
    <sheetView zoomScale="80" zoomScaleNormal="80" workbookViewId="0">
      <selection activeCell="C4" sqref="C4:D4"/>
    </sheetView>
  </sheetViews>
  <sheetFormatPr defaultRowHeight="14.5" x14ac:dyDescent="0.35"/>
  <cols>
    <col min="1" max="1" width="8.81640625" customWidth="1"/>
    <col min="2" max="2" width="12.1796875" bestFit="1" customWidth="1"/>
    <col min="3" max="3" width="10.1796875" customWidth="1"/>
    <col min="4" max="4" width="27" customWidth="1"/>
    <col min="5" max="5" width="21.1796875" customWidth="1"/>
    <col min="6" max="6" width="9.1796875" customWidth="1"/>
    <col min="7" max="7" width="20.81640625" customWidth="1"/>
    <col min="8" max="8" width="12.1796875" bestFit="1" customWidth="1"/>
    <col min="9" max="9" width="17.81640625" bestFit="1" customWidth="1"/>
    <col min="10" max="10" width="10.81640625" customWidth="1"/>
  </cols>
  <sheetData>
    <row r="1" spans="1:10" ht="15" thickBot="1" x14ac:dyDescent="0.4">
      <c r="A1" s="191" t="s">
        <v>66</v>
      </c>
      <c r="B1" s="192"/>
      <c r="C1" s="157"/>
      <c r="D1" s="157"/>
      <c r="E1" s="192"/>
      <c r="F1" s="192"/>
      <c r="G1" s="192"/>
      <c r="H1" s="192"/>
      <c r="I1" s="192"/>
      <c r="J1" s="193"/>
    </row>
    <row r="2" spans="1:10" x14ac:dyDescent="0.35">
      <c r="A2" s="194" t="s">
        <v>67</v>
      </c>
      <c r="B2" s="195"/>
      <c r="C2" s="170" t="s">
        <v>145</v>
      </c>
      <c r="D2" s="196"/>
      <c r="E2" s="39" t="s">
        <v>69</v>
      </c>
      <c r="F2" s="9"/>
      <c r="G2" s="18" t="s">
        <v>70</v>
      </c>
      <c r="H2" s="17"/>
      <c r="I2" s="19" t="s">
        <v>71</v>
      </c>
      <c r="J2" s="16"/>
    </row>
    <row r="3" spans="1:10" x14ac:dyDescent="0.35">
      <c r="A3" s="166" t="s">
        <v>72</v>
      </c>
      <c r="B3" s="172"/>
      <c r="C3" s="151" t="s">
        <v>179</v>
      </c>
      <c r="D3" s="152"/>
      <c r="E3" s="40" t="s">
        <v>73</v>
      </c>
      <c r="F3" s="12"/>
      <c r="G3" s="20" t="s">
        <v>74</v>
      </c>
      <c r="H3" s="20" t="s">
        <v>75</v>
      </c>
      <c r="I3" s="20" t="s">
        <v>76</v>
      </c>
      <c r="J3" s="22" t="s">
        <v>77</v>
      </c>
    </row>
    <row r="4" spans="1:10" x14ac:dyDescent="0.35">
      <c r="A4" s="166" t="s">
        <v>141</v>
      </c>
      <c r="B4" s="172"/>
      <c r="C4" s="151">
        <v>2019</v>
      </c>
      <c r="D4" s="173"/>
      <c r="E4" s="40"/>
      <c r="F4" s="12"/>
      <c r="G4" s="20"/>
      <c r="H4" s="20"/>
      <c r="I4" s="20"/>
      <c r="J4" s="22"/>
    </row>
    <row r="5" spans="1:10" x14ac:dyDescent="0.35">
      <c r="A5" s="166" t="s">
        <v>79</v>
      </c>
      <c r="B5" s="172"/>
      <c r="C5" s="153">
        <v>43681</v>
      </c>
      <c r="D5" s="152"/>
      <c r="E5" s="141" t="s">
        <v>80</v>
      </c>
      <c r="F5" s="10"/>
      <c r="G5" s="20" t="s">
        <v>81</v>
      </c>
      <c r="H5" s="3"/>
      <c r="I5" s="3"/>
      <c r="J5" s="4"/>
    </row>
    <row r="6" spans="1:10" ht="15" thickBot="1" x14ac:dyDescent="0.4">
      <c r="A6" s="168" t="s">
        <v>82</v>
      </c>
      <c r="B6" s="190"/>
      <c r="C6" s="154" t="s">
        <v>142</v>
      </c>
      <c r="D6" s="155"/>
      <c r="E6" s="144"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0.5</v>
      </c>
      <c r="C16" s="7">
        <v>5</v>
      </c>
      <c r="D16" t="str">
        <f ca="1">_xlfn.TEXTJOIN(", ", TRUE, RANDBETWEEN(20, 85), RANDBETWEEN(20, 85), RANDBETWEEN(20, 85), RANDBETWEEN(20, 85), RANDBETWEEN(20, 85), RANDBETWEEN(20, 85), RANDBETWEEN(20, 85), RANDBETWEEN(20, 85), RANDBETWEEN(20, 85), RANDBETWEEN(20, 85))</f>
        <v>63, 48, 63, 24, 57, 27, 63, 77, 79, 71</v>
      </c>
      <c r="E16" s="54" cm="1">
        <f t="array" aca="1" ref="E16" ca="1">AverageStipeDiameter(D16)</f>
        <v>57.2</v>
      </c>
      <c r="F16" s="29">
        <v>21</v>
      </c>
      <c r="G16" s="7"/>
      <c r="H16" s="7"/>
      <c r="J16" s="92" cm="1">
        <f t="array" ref="J16">AverageStipeDiameter(I16)</f>
        <v>0</v>
      </c>
    </row>
    <row r="17" spans="1:10" x14ac:dyDescent="0.35">
      <c r="A17" s="27">
        <v>2</v>
      </c>
      <c r="B17" s="7">
        <v>0.5</v>
      </c>
      <c r="C17" s="7">
        <v>15</v>
      </c>
      <c r="D17" t="str">
        <f t="shared" ref="D17:D31" ca="1" si="0">_xlfn.TEXTJOIN(", ", TRUE, RANDBETWEEN(20, 85), RANDBETWEEN(20, 85), RANDBETWEEN(20, 85), RANDBETWEEN(20, 85), RANDBETWEEN(20, 85), RANDBETWEEN(20, 85), RANDBETWEEN(20, 85), RANDBETWEEN(20, 85), RANDBETWEEN(20, 85), RANDBETWEEN(20, 85))</f>
        <v>81, 30, 29, 49, 67, 35, 52, 72, 25, 30</v>
      </c>
      <c r="E17" s="54" cm="1">
        <f t="array" aca="1" ref="E17" ca="1">AverageStipeDiameter(D17)</f>
        <v>47</v>
      </c>
      <c r="F17" s="29">
        <v>22</v>
      </c>
      <c r="G17" s="7"/>
      <c r="H17" s="7"/>
      <c r="I17" s="43"/>
      <c r="J17" s="92" cm="1">
        <f t="array" ref="J17">AverageStipeDiameter(I17)</f>
        <v>0</v>
      </c>
    </row>
    <row r="18" spans="1:10" x14ac:dyDescent="0.35">
      <c r="A18" s="27">
        <v>3</v>
      </c>
      <c r="B18" s="7">
        <v>1</v>
      </c>
      <c r="C18" s="7">
        <v>10</v>
      </c>
      <c r="D18" t="str">
        <f t="shared" ca="1" si="0"/>
        <v>51, 20, 80, 79, 47, 35, 28, 47, 81, 52</v>
      </c>
      <c r="E18" s="54" cm="1">
        <f t="array" aca="1" ref="E18" ca="1">AverageStipeDiameter(D18)</f>
        <v>52</v>
      </c>
      <c r="F18" s="29">
        <v>23</v>
      </c>
      <c r="G18" s="7"/>
      <c r="H18" s="7"/>
      <c r="I18" s="43"/>
      <c r="J18" s="92" cm="1">
        <f t="array" ref="J18">AverageStipeDiameter(I18)</f>
        <v>0</v>
      </c>
    </row>
    <row r="19" spans="1:10" x14ac:dyDescent="0.35">
      <c r="A19" s="27">
        <v>4</v>
      </c>
      <c r="B19" s="7">
        <v>1</v>
      </c>
      <c r="C19" s="7">
        <v>3</v>
      </c>
      <c r="D19" t="str">
        <f t="shared" ca="1" si="0"/>
        <v>82, 43, 20, 53, 70, 76, 66, 43, 66, 49</v>
      </c>
      <c r="E19" s="54" cm="1">
        <f t="array" aca="1" ref="E19" ca="1">AverageStipeDiameter(D19)</f>
        <v>56.8</v>
      </c>
      <c r="F19" s="29">
        <v>24</v>
      </c>
      <c r="G19" s="7"/>
      <c r="H19" s="7"/>
      <c r="I19" s="43"/>
      <c r="J19" s="92" cm="1">
        <f t="array" ref="J19">AverageStipeDiameter(I19)</f>
        <v>0</v>
      </c>
    </row>
    <row r="20" spans="1:10" x14ac:dyDescent="0.35">
      <c r="A20" s="27">
        <v>5</v>
      </c>
      <c r="B20" s="7">
        <v>1</v>
      </c>
      <c r="C20" s="7">
        <v>8</v>
      </c>
      <c r="D20" t="str">
        <f t="shared" ca="1" si="0"/>
        <v>81, 42, 81, 82, 43, 28, 28, 40, 39, 37</v>
      </c>
      <c r="E20" s="54" cm="1">
        <f t="array" aca="1" ref="E20" ca="1">AverageStipeDiameter(D20)</f>
        <v>50.1</v>
      </c>
      <c r="F20" s="29">
        <v>25</v>
      </c>
      <c r="G20" s="7"/>
      <c r="H20" s="7"/>
      <c r="I20" s="43"/>
      <c r="J20" s="92" cm="1">
        <f t="array" ref="J20">AverageStipeDiameter(I20)</f>
        <v>0</v>
      </c>
    </row>
    <row r="21" spans="1:10" x14ac:dyDescent="0.35">
      <c r="A21" s="27">
        <v>6</v>
      </c>
      <c r="B21" s="7">
        <v>1</v>
      </c>
      <c r="C21" s="7">
        <v>4</v>
      </c>
      <c r="D21" t="str">
        <f t="shared" ca="1" si="0"/>
        <v>40, 68, 20, 73, 83, 50, 27, 82, 80, 73</v>
      </c>
      <c r="E21" s="54" cm="1">
        <f t="array" aca="1" ref="E21" ca="1">AverageStipeDiameter(D21)</f>
        <v>59.6</v>
      </c>
      <c r="F21" s="29">
        <v>26</v>
      </c>
      <c r="G21" s="7"/>
      <c r="H21" s="7"/>
      <c r="I21" s="43"/>
      <c r="J21" s="92" cm="1">
        <f t="array" ref="J21">AverageStipeDiameter(I21)</f>
        <v>0</v>
      </c>
    </row>
    <row r="22" spans="1:10" x14ac:dyDescent="0.35">
      <c r="A22" s="27">
        <v>7</v>
      </c>
      <c r="B22" s="7">
        <v>0.5</v>
      </c>
      <c r="C22" s="7">
        <v>10</v>
      </c>
      <c r="D22" t="str">
        <f t="shared" ca="1" si="0"/>
        <v>74, 65, 66, 62, 48, 66, 39, 43, 54, 62</v>
      </c>
      <c r="E22" s="54" cm="1">
        <f t="array" aca="1" ref="E22" ca="1">AverageStipeDiameter(D22)</f>
        <v>57.9</v>
      </c>
      <c r="F22" s="29">
        <v>27</v>
      </c>
      <c r="G22" s="7"/>
      <c r="H22" s="7"/>
      <c r="I22" s="43"/>
      <c r="J22" s="92" cm="1">
        <f t="array" ref="J22">AverageStipeDiameter(I22)</f>
        <v>0</v>
      </c>
    </row>
    <row r="23" spans="1:10" x14ac:dyDescent="0.35">
      <c r="A23" s="27">
        <v>8</v>
      </c>
      <c r="B23" s="7">
        <v>2</v>
      </c>
      <c r="C23" s="7">
        <v>13</v>
      </c>
      <c r="D23" t="str">
        <f t="shared" ca="1" si="0"/>
        <v>80, 30, 49, 71, 50, 36, 48, 37, 56, 20</v>
      </c>
      <c r="E23" s="54" cm="1">
        <f t="array" aca="1" ref="E23" ca="1">AverageStipeDiameter(D23)</f>
        <v>47.7</v>
      </c>
      <c r="F23" s="29">
        <v>28</v>
      </c>
      <c r="G23" s="7"/>
      <c r="H23" s="7"/>
      <c r="I23" s="43"/>
      <c r="J23" s="92" cm="1">
        <f t="array" ref="J23">AverageStipeDiameter(I23)</f>
        <v>0</v>
      </c>
    </row>
    <row r="24" spans="1:10" x14ac:dyDescent="0.35">
      <c r="A24" s="27">
        <v>9</v>
      </c>
      <c r="B24" s="7">
        <v>1</v>
      </c>
      <c r="C24" s="7">
        <v>19</v>
      </c>
      <c r="D24" t="str">
        <f t="shared" ca="1" si="0"/>
        <v>77, 54, 44, 62, 55, 73, 46, 72, 33, 20</v>
      </c>
      <c r="E24" s="54" cm="1">
        <f t="array" aca="1" ref="E24" ca="1">AverageStipeDiameter(D24)</f>
        <v>53.6</v>
      </c>
      <c r="F24" s="29">
        <v>29</v>
      </c>
      <c r="G24" s="7"/>
      <c r="H24" s="7"/>
      <c r="I24" s="43"/>
      <c r="J24" s="92" cm="1">
        <f t="array" ref="J24">AverageStipeDiameter(I24)</f>
        <v>0</v>
      </c>
    </row>
    <row r="25" spans="1:10" x14ac:dyDescent="0.35">
      <c r="A25" s="27">
        <v>10</v>
      </c>
      <c r="B25" s="7">
        <v>1</v>
      </c>
      <c r="C25" s="7">
        <v>8</v>
      </c>
      <c r="D25" t="str">
        <f t="shared" ca="1" si="0"/>
        <v>58, 30, 37, 76, 29, 43, 69, 49, 77, 78</v>
      </c>
      <c r="E25" s="54" cm="1">
        <f t="array" aca="1" ref="E25" ca="1">AverageStipeDiameter(D25)</f>
        <v>54.6</v>
      </c>
      <c r="F25" s="29">
        <v>30</v>
      </c>
      <c r="G25" s="7"/>
      <c r="H25" s="7"/>
      <c r="I25" s="43"/>
      <c r="J25" s="92" cm="1">
        <f t="array" ref="J25">AverageStipeDiameter(I25)</f>
        <v>0</v>
      </c>
    </row>
    <row r="26" spans="1:10" x14ac:dyDescent="0.35">
      <c r="A26" s="27">
        <v>11</v>
      </c>
      <c r="B26" s="7">
        <v>2</v>
      </c>
      <c r="C26" s="7">
        <v>10</v>
      </c>
      <c r="D26" t="str">
        <f t="shared" ca="1" si="0"/>
        <v>85, 56, 53, 84, 81, 54, 77, 35, 62, 55</v>
      </c>
      <c r="E26" s="54" cm="1">
        <f t="array" aca="1" ref="E26" ca="1">AverageStipeDiameter(D26)</f>
        <v>64.2</v>
      </c>
      <c r="F26" s="29">
        <v>31</v>
      </c>
      <c r="G26" s="7"/>
      <c r="H26" s="7"/>
      <c r="I26" s="43"/>
      <c r="J26" s="92" cm="1">
        <f t="array" ref="J26">AverageStipeDiameter(I26)</f>
        <v>0</v>
      </c>
    </row>
    <row r="27" spans="1:10" x14ac:dyDescent="0.35">
      <c r="A27" s="27">
        <v>12</v>
      </c>
      <c r="B27" s="7">
        <v>2</v>
      </c>
      <c r="C27" s="7">
        <v>15</v>
      </c>
      <c r="D27" t="str">
        <f t="shared" ca="1" si="0"/>
        <v>67, 30, 38, 42, 27, 66, 53, 28, 20, 28</v>
      </c>
      <c r="E27" s="54" cm="1">
        <f t="array" aca="1" ref="E27" ca="1">AverageStipeDiameter(D27)</f>
        <v>39.9</v>
      </c>
      <c r="F27" s="29">
        <v>32</v>
      </c>
      <c r="G27" s="7"/>
      <c r="H27" s="7"/>
      <c r="I27" s="43"/>
      <c r="J27" s="92" cm="1">
        <f t="array" ref="J27">AverageStipeDiameter(I27)</f>
        <v>0</v>
      </c>
    </row>
    <row r="28" spans="1:10" x14ac:dyDescent="0.35">
      <c r="A28" s="27">
        <v>13</v>
      </c>
      <c r="B28" s="7">
        <v>2</v>
      </c>
      <c r="C28" s="7">
        <v>12</v>
      </c>
      <c r="D28" t="str">
        <f t="shared" ca="1" si="0"/>
        <v>32, 66, 38, 78, 33, 26, 36, 51, 35, 26</v>
      </c>
      <c r="E28" s="54" cm="1">
        <f t="array" aca="1" ref="E28" ca="1">AverageStipeDiameter(D28)</f>
        <v>42.1</v>
      </c>
      <c r="F28" s="29">
        <v>33</v>
      </c>
      <c r="G28" s="7"/>
      <c r="H28" s="7"/>
      <c r="I28" s="43"/>
      <c r="J28" s="92" cm="1">
        <f t="array" ref="J28">AverageStipeDiameter(I28)</f>
        <v>0</v>
      </c>
    </row>
    <row r="29" spans="1:10" x14ac:dyDescent="0.35">
      <c r="A29" s="27">
        <v>14</v>
      </c>
      <c r="B29" s="7">
        <v>0</v>
      </c>
      <c r="C29" s="7">
        <v>8</v>
      </c>
      <c r="D29" t="str">
        <f t="shared" ca="1" si="0"/>
        <v>68, 78, 21, 24, 26, 50, 83, 56, 81, 34</v>
      </c>
      <c r="E29" s="54" cm="1">
        <f t="array" aca="1" ref="E29" ca="1">AverageStipeDiameter(D29)</f>
        <v>52.1</v>
      </c>
      <c r="F29" s="29">
        <v>34</v>
      </c>
      <c r="G29" s="7"/>
      <c r="H29" s="7"/>
      <c r="I29" s="43"/>
      <c r="J29" s="92" cm="1">
        <f t="array" ref="J29">AverageStipeDiameter(I29)</f>
        <v>0</v>
      </c>
    </row>
    <row r="30" spans="1:10" x14ac:dyDescent="0.35">
      <c r="A30" s="27">
        <v>15</v>
      </c>
      <c r="B30" s="7">
        <v>1</v>
      </c>
      <c r="C30" s="7">
        <v>1</v>
      </c>
      <c r="D30" t="str">
        <f t="shared" ca="1" si="0"/>
        <v>25, 21, 80, 48, 80, 40, 50, 76, 70, 58</v>
      </c>
      <c r="E30" s="54" cm="1">
        <f t="array" aca="1" ref="E30" ca="1">AverageStipeDiameter(D30)</f>
        <v>54.8</v>
      </c>
      <c r="F30" s="29">
        <v>35</v>
      </c>
      <c r="G30" s="7"/>
      <c r="H30" s="7"/>
      <c r="I30" s="43"/>
      <c r="J30" s="92" cm="1">
        <f t="array" ref="J30">AverageStipeDiameter(I30)</f>
        <v>0</v>
      </c>
    </row>
    <row r="31" spans="1:10" x14ac:dyDescent="0.35">
      <c r="A31" s="27">
        <v>16</v>
      </c>
      <c r="B31" s="7">
        <v>0.5</v>
      </c>
      <c r="C31" s="7">
        <v>12</v>
      </c>
      <c r="D31" t="str">
        <f t="shared" ca="1" si="0"/>
        <v>51, 60, 76, 85, 23, 34, 27, 42, 31, 26</v>
      </c>
      <c r="E31" s="54" cm="1">
        <f t="array" aca="1" ref="E31" ca="1">AverageStipeDiameter(D31)</f>
        <v>45.5</v>
      </c>
      <c r="F31" s="29">
        <v>36</v>
      </c>
      <c r="G31" s="7"/>
      <c r="H31" s="7"/>
      <c r="I31" s="43"/>
      <c r="J31" s="92" cm="1">
        <f t="array" ref="J31">AverageStipeDiameter(I31)</f>
        <v>0</v>
      </c>
    </row>
    <row r="32" spans="1:10" x14ac:dyDescent="0.35">
      <c r="A32" s="27">
        <v>17</v>
      </c>
      <c r="B32" s="7"/>
      <c r="C32" s="7"/>
      <c r="D32" s="142"/>
      <c r="E32" s="54" cm="1">
        <f t="array" ref="E32">AverageStipeDiameter(D32)</f>
        <v>0</v>
      </c>
      <c r="F32" s="29">
        <v>37</v>
      </c>
      <c r="G32" s="7"/>
      <c r="H32" s="7"/>
      <c r="I32" s="43"/>
      <c r="J32" s="92" cm="1">
        <f t="array" ref="J32">AverageStipeDiameter(I32)</f>
        <v>0</v>
      </c>
    </row>
    <row r="33" spans="1:10" x14ac:dyDescent="0.35">
      <c r="A33" s="27">
        <v>18</v>
      </c>
      <c r="B33" s="7"/>
      <c r="C33" s="7"/>
      <c r="D33" s="142"/>
      <c r="E33" s="54" cm="1">
        <f t="array" ref="E33">AverageStipeDiameter(D33)</f>
        <v>0</v>
      </c>
      <c r="F33" s="29">
        <v>38</v>
      </c>
      <c r="G33" s="7"/>
      <c r="H33" s="7"/>
      <c r="I33" s="43"/>
      <c r="J33" s="92" cm="1">
        <f t="array" ref="J33">AverageStipeDiameter(I33)</f>
        <v>0</v>
      </c>
    </row>
    <row r="34" spans="1:10" x14ac:dyDescent="0.35">
      <c r="A34" s="27">
        <v>19</v>
      </c>
      <c r="B34" s="7"/>
      <c r="C34" s="7"/>
      <c r="D34" s="142"/>
      <c r="E34" s="54" cm="1">
        <f t="array" ref="E34">AverageStipeDiameter(D34)</f>
        <v>0</v>
      </c>
      <c r="F34" s="29">
        <v>39</v>
      </c>
      <c r="G34" s="7"/>
      <c r="H34" s="7"/>
      <c r="I34" s="43"/>
      <c r="J34" s="92" cm="1">
        <f t="array" ref="J34">AverageStipeDiameter(I34)</f>
        <v>0</v>
      </c>
    </row>
    <row r="35" spans="1:10" ht="15" thickBot="1" x14ac:dyDescent="0.4">
      <c r="A35" s="28">
        <v>20</v>
      </c>
      <c r="B35" s="8"/>
      <c r="C35" s="8"/>
      <c r="D35" s="51"/>
      <c r="E35" s="93" cm="1">
        <f t="array" ref="E35">AverageStipeDiameter(D35)</f>
        <v>0</v>
      </c>
      <c r="F35" s="30">
        <v>40</v>
      </c>
      <c r="G35" s="8"/>
      <c r="H35" s="8"/>
      <c r="I35" s="44"/>
      <c r="J35" s="94" cm="1">
        <f t="array" ref="J35">AverageStipeDiameter(I35)</f>
        <v>0</v>
      </c>
    </row>
    <row r="36" spans="1:10" ht="17" thickBot="1" x14ac:dyDescent="0.4">
      <c r="A36" s="188" t="s">
        <v>133</v>
      </c>
      <c r="B36" s="189"/>
      <c r="C36" s="80">
        <v>800</v>
      </c>
    </row>
    <row r="37" spans="1:10" ht="17" thickBot="1" x14ac:dyDescent="0.4">
      <c r="A37" s="186" t="s">
        <v>134</v>
      </c>
      <c r="B37" s="187"/>
      <c r="C37" s="81">
        <v>950</v>
      </c>
    </row>
    <row r="38" spans="1:10" ht="15" thickBot="1" x14ac:dyDescent="0.4">
      <c r="A38" s="182" t="s">
        <v>135</v>
      </c>
      <c r="B38" s="183"/>
      <c r="C38" s="78" cm="1">
        <f t="array" ref="C38">Bryozoans(B16:B35,G16:G35)</f>
        <v>14.5</v>
      </c>
    </row>
    <row r="39" spans="1:10" ht="15" thickBot="1" x14ac:dyDescent="0.4">
      <c r="A39" s="184" t="s">
        <v>136</v>
      </c>
      <c r="B39" s="185"/>
      <c r="C39" s="79" cm="1">
        <f t="array" aca="1" ref="C39" ca="1">AverageCSVcols(D16:D35,I16:I35)</f>
        <v>52.193750000000001</v>
      </c>
    </row>
    <row r="40" spans="1:10" ht="15" thickBot="1" x14ac:dyDescent="0.4">
      <c r="A40" s="186" t="s">
        <v>137</v>
      </c>
      <c r="B40" s="187"/>
      <c r="C40" s="77">
        <f>AVERAGE(C16:C35,H16:H35)</f>
        <v>9.5625</v>
      </c>
    </row>
  </sheetData>
  <mergeCells count="24">
    <mergeCell ref="A36:B36"/>
    <mergeCell ref="A37:B37"/>
    <mergeCell ref="A38:B38"/>
    <mergeCell ref="A39:B39"/>
    <mergeCell ref="A40:B40"/>
    <mergeCell ref="A14:J14"/>
    <mergeCell ref="A5:B5"/>
    <mergeCell ref="C5:D5"/>
    <mergeCell ref="A6:B6"/>
    <mergeCell ref="C6:D6"/>
    <mergeCell ref="A7:F7"/>
    <mergeCell ref="G8:J8"/>
    <mergeCell ref="I9:J9"/>
    <mergeCell ref="I10:J10"/>
    <mergeCell ref="I11:J11"/>
    <mergeCell ref="I12:J12"/>
    <mergeCell ref="H13:J13"/>
    <mergeCell ref="A4:B4"/>
    <mergeCell ref="C4:D4"/>
    <mergeCell ref="A1:J1"/>
    <mergeCell ref="A2:B2"/>
    <mergeCell ref="C2:D2"/>
    <mergeCell ref="A3:B3"/>
    <mergeCell ref="C3:D3"/>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E034CD-E964-4B0B-9F8B-BEEE9CDB2058}">
  <sheetPr codeName="Sheet9">
    <tabColor theme="8" tint="0.39997558519241921"/>
  </sheetPr>
  <dimension ref="A1:J40"/>
  <sheetViews>
    <sheetView zoomScale="80" zoomScaleNormal="80" workbookViewId="0">
      <selection activeCell="C3" sqref="C3:D3"/>
    </sheetView>
  </sheetViews>
  <sheetFormatPr defaultRowHeight="14.5" x14ac:dyDescent="0.35"/>
  <cols>
    <col min="1" max="1" width="8.81640625" customWidth="1"/>
    <col min="2" max="2" width="12.1796875" bestFit="1" customWidth="1"/>
    <col min="3" max="3" width="10.1796875" customWidth="1"/>
    <col min="4" max="4" width="27" customWidth="1"/>
    <col min="5" max="5" width="21.1796875" customWidth="1"/>
    <col min="6" max="6" width="9.1796875" customWidth="1"/>
    <col min="7" max="7" width="20.81640625" customWidth="1"/>
    <col min="8" max="8" width="12.1796875" bestFit="1" customWidth="1"/>
    <col min="9" max="9" width="17.81640625" bestFit="1" customWidth="1"/>
    <col min="10" max="10" width="10.81640625" customWidth="1"/>
  </cols>
  <sheetData>
    <row r="1" spans="1:10" ht="15" thickBot="1" x14ac:dyDescent="0.4">
      <c r="A1" s="191" t="s">
        <v>66</v>
      </c>
      <c r="B1" s="192"/>
      <c r="C1" s="157"/>
      <c r="D1" s="157"/>
      <c r="E1" s="192"/>
      <c r="F1" s="192"/>
      <c r="G1" s="192"/>
      <c r="H1" s="192"/>
      <c r="I1" s="192"/>
      <c r="J1" s="193"/>
    </row>
    <row r="2" spans="1:10" x14ac:dyDescent="0.35">
      <c r="A2" s="194" t="s">
        <v>67</v>
      </c>
      <c r="B2" s="195"/>
      <c r="C2" s="170" t="s">
        <v>146</v>
      </c>
      <c r="D2" s="196"/>
      <c r="E2" s="39" t="s">
        <v>69</v>
      </c>
      <c r="F2" s="9"/>
      <c r="G2" s="18" t="s">
        <v>70</v>
      </c>
      <c r="H2" s="17"/>
      <c r="I2" s="19" t="s">
        <v>71</v>
      </c>
      <c r="J2" s="16"/>
    </row>
    <row r="3" spans="1:10" x14ac:dyDescent="0.35">
      <c r="A3" s="166" t="s">
        <v>72</v>
      </c>
      <c r="B3" s="172"/>
      <c r="C3" s="151" t="s">
        <v>180</v>
      </c>
      <c r="D3" s="152"/>
      <c r="E3" s="40" t="s">
        <v>73</v>
      </c>
      <c r="F3" s="12"/>
      <c r="G3" s="20" t="s">
        <v>74</v>
      </c>
      <c r="H3" s="20" t="s">
        <v>75</v>
      </c>
      <c r="I3" s="20" t="s">
        <v>76</v>
      </c>
      <c r="J3" s="22" t="s">
        <v>77</v>
      </c>
    </row>
    <row r="4" spans="1:10" x14ac:dyDescent="0.35">
      <c r="A4" s="166" t="s">
        <v>141</v>
      </c>
      <c r="B4" s="172"/>
      <c r="C4" s="151">
        <v>2019</v>
      </c>
      <c r="D4" s="173"/>
      <c r="E4" s="40"/>
      <c r="F4" s="12"/>
      <c r="G4" s="20"/>
      <c r="H4" s="20"/>
      <c r="I4" s="20"/>
      <c r="J4" s="22"/>
    </row>
    <row r="5" spans="1:10" x14ac:dyDescent="0.35">
      <c r="A5" s="166" t="s">
        <v>79</v>
      </c>
      <c r="B5" s="172"/>
      <c r="C5" s="153">
        <v>43681</v>
      </c>
      <c r="D5" s="152"/>
      <c r="E5" s="141" t="s">
        <v>80</v>
      </c>
      <c r="F5" s="10"/>
      <c r="G5" s="20" t="s">
        <v>81</v>
      </c>
      <c r="H5" s="3"/>
      <c r="I5" s="3"/>
      <c r="J5" s="4"/>
    </row>
    <row r="6" spans="1:10" ht="15" thickBot="1" x14ac:dyDescent="0.4">
      <c r="A6" s="168" t="s">
        <v>82</v>
      </c>
      <c r="B6" s="190"/>
      <c r="C6" s="154" t="s">
        <v>142</v>
      </c>
      <c r="D6" s="155"/>
      <c r="E6" s="144"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0.5</v>
      </c>
      <c r="C16" s="7">
        <v>5</v>
      </c>
      <c r="D16" t="str">
        <f ca="1">_xlfn.TEXTJOIN(", ", TRUE, RANDBETWEEN(20, 85), RANDBETWEEN(20, 85), RANDBETWEEN(20, 85), RANDBETWEEN(20, 85), RANDBETWEEN(20, 85), RANDBETWEEN(20, 85), RANDBETWEEN(20, 85), RANDBETWEEN(20, 85), RANDBETWEEN(20, 85), RANDBETWEEN(20, 85))</f>
        <v>79, 48, 70, 81, 52, 42, 76, 44, 41, 73</v>
      </c>
      <c r="E16" s="54" cm="1">
        <f t="array" aca="1" ref="E16" ca="1">AverageStipeDiameter(D16)</f>
        <v>60.6</v>
      </c>
      <c r="F16" s="29">
        <v>21</v>
      </c>
      <c r="G16" s="7">
        <v>0</v>
      </c>
      <c r="H16" s="7">
        <f ca="1">RANDBETWEEN(1,25)</f>
        <v>11</v>
      </c>
      <c r="I16" t="str">
        <f t="shared" ref="I16:I22" ca="1" si="0">_xlfn.TEXTJOIN(", ", TRUE, RANDBETWEEN(20, 85), RANDBETWEEN(20, 85), RANDBETWEEN(20, 85), RANDBETWEEN(20, 85), RANDBETWEEN(20, 85), RANDBETWEEN(20, 85), RANDBETWEEN(20, 85), RANDBETWEEN(20, 85), RANDBETWEEN(20, 85), RANDBETWEEN(20, 85))</f>
        <v>69, 64, 41, 84, 57, 44, 65, 50, 25, 83</v>
      </c>
      <c r="J16" s="92" cm="1">
        <f t="array" aca="1" ref="J16" ca="1">AverageStipeDiameter(I16)</f>
        <v>58.2</v>
      </c>
    </row>
    <row r="17" spans="1:10" x14ac:dyDescent="0.35">
      <c r="A17" s="27">
        <v>2</v>
      </c>
      <c r="B17" s="7">
        <v>0.5</v>
      </c>
      <c r="C17" s="7">
        <v>15</v>
      </c>
      <c r="D17" t="str">
        <f t="shared" ref="D17:D35" ca="1" si="1">_xlfn.TEXTJOIN(", ", TRUE, RANDBETWEEN(20, 85), RANDBETWEEN(20, 85), RANDBETWEEN(20, 85), RANDBETWEEN(20, 85), RANDBETWEEN(20, 85), RANDBETWEEN(20, 85), RANDBETWEEN(20, 85), RANDBETWEEN(20, 85), RANDBETWEEN(20, 85), RANDBETWEEN(20, 85))</f>
        <v>52, 83, 73, 20, 24, 40, 31, 84, 75, 82</v>
      </c>
      <c r="E17" s="54" cm="1">
        <f t="array" aca="1" ref="E17" ca="1">AverageStipeDiameter(D17)</f>
        <v>56.4</v>
      </c>
      <c r="F17" s="29">
        <v>22</v>
      </c>
      <c r="G17" s="7">
        <v>0</v>
      </c>
      <c r="H17" s="7">
        <f t="shared" ref="H17:H22" ca="1" si="2">RANDBETWEEN(1,25)</f>
        <v>17</v>
      </c>
      <c r="I17" t="str">
        <f t="shared" ca="1" si="0"/>
        <v>43, 49, 57, 64, 23, 33, 25, 44, 81, 67</v>
      </c>
      <c r="J17" s="92" cm="1">
        <f t="array" aca="1" ref="J17" ca="1">AverageStipeDiameter(I17)</f>
        <v>48.6</v>
      </c>
    </row>
    <row r="18" spans="1:10" x14ac:dyDescent="0.35">
      <c r="A18" s="27">
        <v>3</v>
      </c>
      <c r="B18" s="7">
        <v>1</v>
      </c>
      <c r="C18" s="7">
        <v>10</v>
      </c>
      <c r="D18" t="str">
        <f t="shared" ca="1" si="1"/>
        <v>76, 37, 43, 29, 22, 47, 72, 84, 44, 42</v>
      </c>
      <c r="E18" s="54" cm="1">
        <f t="array" aca="1" ref="E18" ca="1">AverageStipeDiameter(D18)</f>
        <v>49.6</v>
      </c>
      <c r="F18" s="29">
        <v>23</v>
      </c>
      <c r="G18" s="7">
        <v>1</v>
      </c>
      <c r="H18" s="7">
        <f t="shared" ca="1" si="2"/>
        <v>22</v>
      </c>
      <c r="I18" t="str">
        <f t="shared" ca="1" si="0"/>
        <v>55, 53, 58, 47, 58, 28, 36, 39, 75, 84</v>
      </c>
      <c r="J18" s="92" cm="1">
        <f t="array" aca="1" ref="J18" ca="1">AverageStipeDiameter(I18)</f>
        <v>53.3</v>
      </c>
    </row>
    <row r="19" spans="1:10" x14ac:dyDescent="0.35">
      <c r="A19" s="27">
        <v>4</v>
      </c>
      <c r="B19" s="7">
        <v>1</v>
      </c>
      <c r="C19" s="7">
        <v>3</v>
      </c>
      <c r="D19" t="str">
        <f t="shared" ca="1" si="1"/>
        <v>58, 25, 39, 20, 38, 49, 74, 23, 76, 62</v>
      </c>
      <c r="E19" s="54" cm="1">
        <f t="array" aca="1" ref="E19" ca="1">AverageStipeDiameter(D19)</f>
        <v>46.4</v>
      </c>
      <c r="F19" s="29">
        <v>24</v>
      </c>
      <c r="G19" s="7">
        <v>2</v>
      </c>
      <c r="H19" s="7">
        <f t="shared" ca="1" si="2"/>
        <v>1</v>
      </c>
      <c r="I19" t="str">
        <f t="shared" ca="1" si="0"/>
        <v>74, 76, 27, 51, 47, 67, 63, 82, 47, 33</v>
      </c>
      <c r="J19" s="92" cm="1">
        <f t="array" aca="1" ref="J19" ca="1">AverageStipeDiameter(I19)</f>
        <v>56.7</v>
      </c>
    </row>
    <row r="20" spans="1:10" x14ac:dyDescent="0.35">
      <c r="A20" s="27">
        <v>5</v>
      </c>
      <c r="B20" s="7">
        <v>1</v>
      </c>
      <c r="C20" s="7">
        <v>8</v>
      </c>
      <c r="D20" t="str">
        <f t="shared" ca="1" si="1"/>
        <v>59, 42, 25, 56, 69, 20, 69, 51, 25, 72</v>
      </c>
      <c r="E20" s="54" cm="1">
        <f t="array" aca="1" ref="E20" ca="1">AverageStipeDiameter(D20)</f>
        <v>48.8</v>
      </c>
      <c r="F20" s="29">
        <v>25</v>
      </c>
      <c r="G20" s="7">
        <v>0</v>
      </c>
      <c r="H20" s="7">
        <f t="shared" ca="1" si="2"/>
        <v>4</v>
      </c>
      <c r="I20" t="str">
        <f t="shared" ca="1" si="0"/>
        <v>24, 53, 34, 83, 20, 66, 37, 52, 82, 23</v>
      </c>
      <c r="J20" s="92" cm="1">
        <f t="array" aca="1" ref="J20" ca="1">AverageStipeDiameter(I20)</f>
        <v>47.4</v>
      </c>
    </row>
    <row r="21" spans="1:10" x14ac:dyDescent="0.35">
      <c r="A21" s="27">
        <v>6</v>
      </c>
      <c r="B21" s="7">
        <v>1</v>
      </c>
      <c r="C21" s="7">
        <v>4</v>
      </c>
      <c r="D21" t="str">
        <f t="shared" ca="1" si="1"/>
        <v>39, 39, 77, 85, 83, 28, 25, 73, 80, 35</v>
      </c>
      <c r="E21" s="54" cm="1">
        <f t="array" aca="1" ref="E21" ca="1">AverageStipeDiameter(D21)</f>
        <v>56.4</v>
      </c>
      <c r="F21" s="29">
        <v>26</v>
      </c>
      <c r="G21" s="7">
        <v>0.5</v>
      </c>
      <c r="H21" s="7">
        <f t="shared" ca="1" si="2"/>
        <v>6</v>
      </c>
      <c r="I21" t="str">
        <f t="shared" ca="1" si="0"/>
        <v>36, 29, 45, 81, 44, 35, 61, 51, 66, 62</v>
      </c>
      <c r="J21" s="92" cm="1">
        <f t="array" aca="1" ref="J21" ca="1">AverageStipeDiameter(I21)</f>
        <v>51</v>
      </c>
    </row>
    <row r="22" spans="1:10" x14ac:dyDescent="0.35">
      <c r="A22" s="27">
        <v>7</v>
      </c>
      <c r="B22" s="7">
        <v>0.5</v>
      </c>
      <c r="C22" s="7">
        <v>10</v>
      </c>
      <c r="D22" t="str">
        <f t="shared" ca="1" si="1"/>
        <v>62, 76, 80, 58, 72, 40, 71, 33, 78, 53</v>
      </c>
      <c r="E22" s="54" cm="1">
        <f t="array" aca="1" ref="E22" ca="1">AverageStipeDiameter(D22)</f>
        <v>62.3</v>
      </c>
      <c r="F22" s="29">
        <v>27</v>
      </c>
      <c r="G22" s="7">
        <v>0.5</v>
      </c>
      <c r="H22" s="7">
        <f t="shared" ca="1" si="2"/>
        <v>25</v>
      </c>
      <c r="I22" t="str">
        <f t="shared" ca="1" si="0"/>
        <v>67, 38, 50, 35, 57, 67, 22, 46, 58, 53</v>
      </c>
      <c r="J22" s="92" cm="1">
        <f t="array" aca="1" ref="J22" ca="1">AverageStipeDiameter(I22)</f>
        <v>49.3</v>
      </c>
    </row>
    <row r="23" spans="1:10" x14ac:dyDescent="0.35">
      <c r="A23" s="27">
        <v>8</v>
      </c>
      <c r="B23" s="7">
        <v>2</v>
      </c>
      <c r="C23" s="7">
        <v>13</v>
      </c>
      <c r="D23" t="str">
        <f t="shared" ca="1" si="1"/>
        <v>66, 47, 62, 70, 33, 44, 25, 32, 28, 69</v>
      </c>
      <c r="E23" s="54" cm="1">
        <f t="array" aca="1" ref="E23" ca="1">AverageStipeDiameter(D23)</f>
        <v>47.6</v>
      </c>
      <c r="F23" s="29">
        <v>28</v>
      </c>
      <c r="G23" s="7"/>
      <c r="H23" s="7"/>
      <c r="I23" s="43"/>
      <c r="J23" s="92" cm="1">
        <f t="array" ref="J23">AverageStipeDiameter(I23)</f>
        <v>0</v>
      </c>
    </row>
    <row r="24" spans="1:10" x14ac:dyDescent="0.35">
      <c r="A24" s="27">
        <v>9</v>
      </c>
      <c r="B24" s="7">
        <v>1</v>
      </c>
      <c r="C24" s="7">
        <v>19</v>
      </c>
      <c r="D24" t="str">
        <f t="shared" ca="1" si="1"/>
        <v>49, 52, 31, 31, 37, 56, 31, 75, 63, 48</v>
      </c>
      <c r="E24" s="54" cm="1">
        <f t="array" aca="1" ref="E24" ca="1">AverageStipeDiameter(D24)</f>
        <v>47.3</v>
      </c>
      <c r="F24" s="29">
        <v>29</v>
      </c>
      <c r="G24" s="7"/>
      <c r="H24" s="7"/>
      <c r="I24" s="43"/>
      <c r="J24" s="92" cm="1">
        <f t="array" ref="J24">AverageStipeDiameter(I24)</f>
        <v>0</v>
      </c>
    </row>
    <row r="25" spans="1:10" x14ac:dyDescent="0.35">
      <c r="A25" s="27">
        <v>10</v>
      </c>
      <c r="B25" s="7">
        <v>1</v>
      </c>
      <c r="C25" s="7">
        <v>8</v>
      </c>
      <c r="D25" t="str">
        <f t="shared" ca="1" si="1"/>
        <v>44, 73, 79, 51, 39, 32, 29, 57, 42, 20</v>
      </c>
      <c r="E25" s="54" cm="1">
        <f t="array" aca="1" ref="E25" ca="1">AverageStipeDiameter(D25)</f>
        <v>46.6</v>
      </c>
      <c r="F25" s="29">
        <v>30</v>
      </c>
      <c r="G25" s="7"/>
      <c r="H25" s="7"/>
      <c r="I25" s="43"/>
      <c r="J25" s="92" cm="1">
        <f t="array" ref="J25">AverageStipeDiameter(I25)</f>
        <v>0</v>
      </c>
    </row>
    <row r="26" spans="1:10" x14ac:dyDescent="0.35">
      <c r="A26" s="27">
        <v>11</v>
      </c>
      <c r="B26" s="7">
        <v>2</v>
      </c>
      <c r="C26" s="7">
        <v>10</v>
      </c>
      <c r="D26" t="str">
        <f t="shared" ca="1" si="1"/>
        <v>81, 39, 53, 46, 77, 25, 43, 21, 44, 38</v>
      </c>
      <c r="E26" s="54" cm="1">
        <f t="array" aca="1" ref="E26" ca="1">AverageStipeDiameter(D26)</f>
        <v>46.7</v>
      </c>
      <c r="F26" s="29">
        <v>31</v>
      </c>
      <c r="G26" s="7"/>
      <c r="H26" s="7"/>
      <c r="I26" s="43"/>
      <c r="J26" s="92" cm="1">
        <f t="array" ref="J26">AverageStipeDiameter(I26)</f>
        <v>0</v>
      </c>
    </row>
    <row r="27" spans="1:10" x14ac:dyDescent="0.35">
      <c r="A27" s="27">
        <v>12</v>
      </c>
      <c r="B27" s="7">
        <v>2</v>
      </c>
      <c r="C27" s="7">
        <v>15</v>
      </c>
      <c r="D27" t="str">
        <f t="shared" ca="1" si="1"/>
        <v>55, 32, 79, 29, 37, 42, 76, 79, 58, 21</v>
      </c>
      <c r="E27" s="54" cm="1">
        <f t="array" aca="1" ref="E27" ca="1">AverageStipeDiameter(D27)</f>
        <v>50.8</v>
      </c>
      <c r="F27" s="29">
        <v>32</v>
      </c>
      <c r="G27" s="7"/>
      <c r="H27" s="7"/>
      <c r="I27" s="43"/>
      <c r="J27" s="92" cm="1">
        <f t="array" ref="J27">AverageStipeDiameter(I27)</f>
        <v>0</v>
      </c>
    </row>
    <row r="28" spans="1:10" x14ac:dyDescent="0.35">
      <c r="A28" s="27">
        <v>13</v>
      </c>
      <c r="B28" s="7">
        <v>2</v>
      </c>
      <c r="C28" s="7">
        <v>12</v>
      </c>
      <c r="D28" t="str">
        <f t="shared" ca="1" si="1"/>
        <v>36, 83, 81, 24, 71, 74, 54, 21, 27, 36</v>
      </c>
      <c r="E28" s="54" cm="1">
        <f t="array" aca="1" ref="E28" ca="1">AverageStipeDiameter(D28)</f>
        <v>50.7</v>
      </c>
      <c r="F28" s="29">
        <v>33</v>
      </c>
      <c r="G28" s="7"/>
      <c r="H28" s="7"/>
      <c r="I28" s="43"/>
      <c r="J28" s="92" cm="1">
        <f t="array" ref="J28">AverageStipeDiameter(I28)</f>
        <v>0</v>
      </c>
    </row>
    <row r="29" spans="1:10" x14ac:dyDescent="0.35">
      <c r="A29" s="27">
        <v>14</v>
      </c>
      <c r="B29" s="7">
        <v>0</v>
      </c>
      <c r="C29" s="7">
        <f ca="1">RANDBETWEEN(1,25)</f>
        <v>15</v>
      </c>
      <c r="D29" t="str">
        <f t="shared" ca="1" si="1"/>
        <v>68, 72, 31, 31, 33, 33, 41, 38, 57, 49</v>
      </c>
      <c r="E29" s="54" cm="1">
        <f t="array" aca="1" ref="E29" ca="1">AverageStipeDiameter(D29)</f>
        <v>45.3</v>
      </c>
      <c r="F29" s="29">
        <v>34</v>
      </c>
      <c r="G29" s="7"/>
      <c r="H29" s="7"/>
      <c r="I29" s="43"/>
      <c r="J29" s="92" cm="1">
        <f t="array" ref="J29">AverageStipeDiameter(I29)</f>
        <v>0</v>
      </c>
    </row>
    <row r="30" spans="1:10" x14ac:dyDescent="0.35">
      <c r="A30" s="27">
        <v>15</v>
      </c>
      <c r="B30" s="7">
        <v>0.5</v>
      </c>
      <c r="C30" s="7">
        <f t="shared" ref="C30:C35" ca="1" si="3">RANDBETWEEN(1,25)</f>
        <v>19</v>
      </c>
      <c r="D30" t="str">
        <f t="shared" ca="1" si="1"/>
        <v>52, 30, 36, 39, 48, 55, 84, 35, 42, 68</v>
      </c>
      <c r="E30" s="54" cm="1">
        <f t="array" aca="1" ref="E30" ca="1">AverageStipeDiameter(D30)</f>
        <v>48.9</v>
      </c>
      <c r="F30" s="29">
        <v>35</v>
      </c>
      <c r="G30" s="7"/>
      <c r="H30" s="7"/>
      <c r="I30" s="43"/>
      <c r="J30" s="92" cm="1">
        <f t="array" ref="J30">AverageStipeDiameter(I30)</f>
        <v>0</v>
      </c>
    </row>
    <row r="31" spans="1:10" x14ac:dyDescent="0.35">
      <c r="A31" s="27">
        <v>16</v>
      </c>
      <c r="B31" s="7">
        <v>1</v>
      </c>
      <c r="C31" s="7">
        <f t="shared" ca="1" si="3"/>
        <v>5</v>
      </c>
      <c r="D31" t="str">
        <f t="shared" ca="1" si="1"/>
        <v>50, 26, 79, 77, 48, 33, 48, 20, 39, 80</v>
      </c>
      <c r="E31" s="54" cm="1">
        <f t="array" aca="1" ref="E31" ca="1">AverageStipeDiameter(D31)</f>
        <v>50</v>
      </c>
      <c r="F31" s="29">
        <v>36</v>
      </c>
      <c r="G31" s="7"/>
      <c r="H31" s="7"/>
      <c r="I31" s="43"/>
      <c r="J31" s="92" cm="1">
        <f t="array" ref="J31">AverageStipeDiameter(I31)</f>
        <v>0</v>
      </c>
    </row>
    <row r="32" spans="1:10" x14ac:dyDescent="0.35">
      <c r="A32" s="27">
        <v>17</v>
      </c>
      <c r="B32" s="7">
        <v>0.5</v>
      </c>
      <c r="C32" s="7">
        <f t="shared" ca="1" si="3"/>
        <v>24</v>
      </c>
      <c r="D32" t="str">
        <f t="shared" ca="1" si="1"/>
        <v>54, 59, 25, 64, 34, 51, 67, 49, 36, 81</v>
      </c>
      <c r="E32" s="54" cm="1">
        <f t="array" aca="1" ref="E32" ca="1">AverageStipeDiameter(D32)</f>
        <v>52</v>
      </c>
      <c r="F32" s="29">
        <v>37</v>
      </c>
      <c r="G32" s="7"/>
      <c r="H32" s="7"/>
      <c r="I32" s="43"/>
      <c r="J32" s="92" cm="1">
        <f t="array" ref="J32">AverageStipeDiameter(I32)</f>
        <v>0</v>
      </c>
    </row>
    <row r="33" spans="1:10" x14ac:dyDescent="0.35">
      <c r="A33" s="27">
        <v>18</v>
      </c>
      <c r="B33" s="7">
        <v>0</v>
      </c>
      <c r="C33" s="7">
        <f t="shared" ca="1" si="3"/>
        <v>20</v>
      </c>
      <c r="D33" t="str">
        <f t="shared" ca="1" si="1"/>
        <v>52, 51, 27, 47, 76, 71, 23, 39, 40, 75</v>
      </c>
      <c r="E33" s="54" cm="1">
        <f t="array" aca="1" ref="E33" ca="1">AverageStipeDiameter(D33)</f>
        <v>50.1</v>
      </c>
      <c r="F33" s="29">
        <v>38</v>
      </c>
      <c r="G33" s="7"/>
      <c r="H33" s="7"/>
      <c r="I33" s="43"/>
      <c r="J33" s="92" cm="1">
        <f t="array" ref="J33">AverageStipeDiameter(I33)</f>
        <v>0</v>
      </c>
    </row>
    <row r="34" spans="1:10" x14ac:dyDescent="0.35">
      <c r="A34" s="27">
        <v>19</v>
      </c>
      <c r="B34" s="7">
        <v>0</v>
      </c>
      <c r="C34" s="7">
        <f t="shared" ca="1" si="3"/>
        <v>2</v>
      </c>
      <c r="D34" t="str">
        <f t="shared" ca="1" si="1"/>
        <v>21, 25, 83, 53, 29, 25, 50, 37, 43, 54</v>
      </c>
      <c r="E34" s="54" cm="1">
        <f t="array" aca="1" ref="E34" ca="1">AverageStipeDiameter(D34)</f>
        <v>42</v>
      </c>
      <c r="F34" s="29">
        <v>39</v>
      </c>
      <c r="G34" s="7"/>
      <c r="H34" s="7"/>
      <c r="I34" s="43"/>
      <c r="J34" s="92" cm="1">
        <f t="array" ref="J34">AverageStipeDiameter(I34)</f>
        <v>0</v>
      </c>
    </row>
    <row r="35" spans="1:10" ht="15" thickBot="1" x14ac:dyDescent="0.4">
      <c r="A35" s="28">
        <v>20</v>
      </c>
      <c r="B35" s="8">
        <v>1</v>
      </c>
      <c r="C35" s="8">
        <f t="shared" ca="1" si="3"/>
        <v>10</v>
      </c>
      <c r="D35" s="139" t="str">
        <f t="shared" ca="1" si="1"/>
        <v>61, 64, 33, 61, 82, 35, 50, 75, 59, 25</v>
      </c>
      <c r="E35" s="93" cm="1">
        <f t="array" aca="1" ref="E35" ca="1">AverageStipeDiameter(D35)</f>
        <v>54.5</v>
      </c>
      <c r="F35" s="30">
        <v>40</v>
      </c>
      <c r="G35" s="8"/>
      <c r="H35" s="8"/>
      <c r="I35" s="44"/>
      <c r="J35" s="94" cm="1">
        <f t="array" ref="J35">AverageStipeDiameter(I35)</f>
        <v>0</v>
      </c>
    </row>
    <row r="36" spans="1:10" ht="17" thickBot="1" x14ac:dyDescent="0.4">
      <c r="A36" s="188" t="s">
        <v>133</v>
      </c>
      <c r="B36" s="189"/>
      <c r="C36" s="80">
        <v>1400</v>
      </c>
    </row>
    <row r="37" spans="1:10" ht="17" thickBot="1" x14ac:dyDescent="0.4">
      <c r="A37" s="186" t="s">
        <v>134</v>
      </c>
      <c r="B37" s="187"/>
      <c r="C37" s="81">
        <v>950</v>
      </c>
    </row>
    <row r="38" spans="1:10" ht="15" thickBot="1" x14ac:dyDescent="0.4">
      <c r="A38" s="182" t="s">
        <v>135</v>
      </c>
      <c r="B38" s="183"/>
      <c r="C38" s="78" cm="1">
        <f t="array" ref="C38">Bryozoans(B16:B35,G16:G35)</f>
        <v>13.333333333333334</v>
      </c>
    </row>
    <row r="39" spans="1:10" ht="15" thickBot="1" x14ac:dyDescent="0.4">
      <c r="A39" s="184" t="s">
        <v>136</v>
      </c>
      <c r="B39" s="185"/>
      <c r="C39" s="79" cm="1">
        <f t="array" aca="1" ref="C39" ca="1">AverageCSVcols(D16:D35,I16:I35)</f>
        <v>51.018518518518519</v>
      </c>
    </row>
    <row r="40" spans="1:10" ht="15" thickBot="1" x14ac:dyDescent="0.4">
      <c r="A40" s="186" t="s">
        <v>137</v>
      </c>
      <c r="B40" s="187"/>
      <c r="C40" s="77">
        <f ca="1">AVERAGE(C16:C35,H16:H35)</f>
        <v>11.592592592592593</v>
      </c>
    </row>
  </sheetData>
  <mergeCells count="24">
    <mergeCell ref="A36:B36"/>
    <mergeCell ref="A37:B37"/>
    <mergeCell ref="A38:B38"/>
    <mergeCell ref="A39:B39"/>
    <mergeCell ref="A40:B40"/>
    <mergeCell ref="A14:J14"/>
    <mergeCell ref="A5:B5"/>
    <mergeCell ref="C5:D5"/>
    <mergeCell ref="A6:B6"/>
    <mergeCell ref="C6:D6"/>
    <mergeCell ref="A7:F7"/>
    <mergeCell ref="G8:J8"/>
    <mergeCell ref="I9:J9"/>
    <mergeCell ref="I10:J10"/>
    <mergeCell ref="I11:J11"/>
    <mergeCell ref="I12:J12"/>
    <mergeCell ref="H13:J13"/>
    <mergeCell ref="A4:B4"/>
    <mergeCell ref="C4:D4"/>
    <mergeCell ref="A1:J1"/>
    <mergeCell ref="A2:B2"/>
    <mergeCell ref="C2:D2"/>
    <mergeCell ref="A3:B3"/>
    <mergeCell ref="C3:D3"/>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D875BB-D3DA-4393-91A0-DABE691BC07F}">
  <sheetPr codeName="Sheet19">
    <tabColor theme="8" tint="0.39997558519241921"/>
  </sheetPr>
  <dimension ref="A1:J40"/>
  <sheetViews>
    <sheetView zoomScale="80" zoomScaleNormal="80" workbookViewId="0">
      <selection activeCell="C3" sqref="C3:D3"/>
    </sheetView>
  </sheetViews>
  <sheetFormatPr defaultRowHeight="14.5" x14ac:dyDescent="0.35"/>
  <cols>
    <col min="1" max="1" width="8.81640625" customWidth="1"/>
    <col min="2" max="2" width="12.1796875" bestFit="1" customWidth="1"/>
    <col min="3" max="3" width="10.1796875" customWidth="1"/>
    <col min="4" max="4" width="27" customWidth="1"/>
    <col min="5" max="5" width="21.1796875" customWidth="1"/>
    <col min="6" max="6" width="9.1796875" customWidth="1"/>
    <col min="7" max="7" width="20.81640625" customWidth="1"/>
    <col min="8" max="8" width="12.1796875" bestFit="1" customWidth="1"/>
    <col min="9" max="9" width="17.81640625" bestFit="1" customWidth="1"/>
    <col min="10" max="10" width="10.81640625" customWidth="1"/>
  </cols>
  <sheetData>
    <row r="1" spans="1:10" ht="15" thickBot="1" x14ac:dyDescent="0.4">
      <c r="A1" s="191" t="s">
        <v>66</v>
      </c>
      <c r="B1" s="192"/>
      <c r="C1" s="157"/>
      <c r="D1" s="157"/>
      <c r="E1" s="192"/>
      <c r="F1" s="192"/>
      <c r="G1" s="192"/>
      <c r="H1" s="192"/>
      <c r="I1" s="192"/>
      <c r="J1" s="193"/>
    </row>
    <row r="2" spans="1:10" x14ac:dyDescent="0.35">
      <c r="A2" s="194" t="s">
        <v>67</v>
      </c>
      <c r="B2" s="195"/>
      <c r="C2" s="170" t="s">
        <v>147</v>
      </c>
      <c r="D2" s="196"/>
      <c r="E2" s="39" t="s">
        <v>69</v>
      </c>
      <c r="F2" s="9"/>
      <c r="G2" s="18" t="s">
        <v>70</v>
      </c>
      <c r="H2" s="17"/>
      <c r="I2" s="19" t="s">
        <v>71</v>
      </c>
      <c r="J2" s="16"/>
    </row>
    <row r="3" spans="1:10" x14ac:dyDescent="0.35">
      <c r="A3" s="166" t="s">
        <v>72</v>
      </c>
      <c r="B3" s="172"/>
      <c r="C3" s="151" t="s">
        <v>181</v>
      </c>
      <c r="D3" s="152"/>
      <c r="E3" s="40" t="s">
        <v>73</v>
      </c>
      <c r="F3" s="12"/>
      <c r="G3" s="20" t="s">
        <v>74</v>
      </c>
      <c r="H3" s="20" t="s">
        <v>75</v>
      </c>
      <c r="I3" s="20" t="s">
        <v>76</v>
      </c>
      <c r="J3" s="22" t="s">
        <v>77</v>
      </c>
    </row>
    <row r="4" spans="1:10" x14ac:dyDescent="0.35">
      <c r="A4" s="166" t="s">
        <v>141</v>
      </c>
      <c r="B4" s="172"/>
      <c r="C4" s="151">
        <v>2019</v>
      </c>
      <c r="D4" s="173"/>
      <c r="E4" s="40"/>
      <c r="F4" s="12"/>
      <c r="G4" s="20"/>
      <c r="H4" s="20"/>
      <c r="I4" s="20"/>
      <c r="J4" s="22"/>
    </row>
    <row r="5" spans="1:10" x14ac:dyDescent="0.35">
      <c r="A5" s="166" t="s">
        <v>79</v>
      </c>
      <c r="B5" s="172"/>
      <c r="C5" s="153">
        <v>43681</v>
      </c>
      <c r="D5" s="152"/>
      <c r="E5" s="141" t="s">
        <v>80</v>
      </c>
      <c r="F5" s="10"/>
      <c r="G5" s="20" t="s">
        <v>81</v>
      </c>
      <c r="H5" s="3"/>
      <c r="I5" s="3"/>
      <c r="J5" s="4"/>
    </row>
    <row r="6" spans="1:10" ht="15" thickBot="1" x14ac:dyDescent="0.4">
      <c r="A6" s="168" t="s">
        <v>82</v>
      </c>
      <c r="B6" s="190"/>
      <c r="C6" s="154" t="s">
        <v>142</v>
      </c>
      <c r="D6" s="155"/>
      <c r="E6" s="144"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0.5</v>
      </c>
      <c r="C16" s="7">
        <v>5</v>
      </c>
      <c r="D16" t="str">
        <f ca="1">_xlfn.TEXTJOIN(", ", TRUE, RANDBETWEEN(20, 85), RANDBETWEEN(20, 85), RANDBETWEEN(20, 85), RANDBETWEEN(20, 85), RANDBETWEEN(20, 85), RANDBETWEEN(20, 85), RANDBETWEEN(20, 85), RANDBETWEEN(20, 85), RANDBETWEEN(20, 85), RANDBETWEEN(20, 85))</f>
        <v>45, 53, 53, 50, 76, 65, 69, 25, 39, 78</v>
      </c>
      <c r="E16" s="54" cm="1">
        <f t="array" aca="1" ref="E16" ca="1">AverageStipeDiameter(D16)</f>
        <v>55.3</v>
      </c>
      <c r="F16" s="29">
        <v>21</v>
      </c>
      <c r="G16" s="7"/>
      <c r="H16" s="7"/>
      <c r="J16" s="92" cm="1">
        <f t="array" ref="J16">AverageStipeDiameter(I16)</f>
        <v>0</v>
      </c>
    </row>
    <row r="17" spans="1:10" x14ac:dyDescent="0.35">
      <c r="A17" s="27">
        <v>2</v>
      </c>
      <c r="B17" s="7">
        <v>0.5</v>
      </c>
      <c r="C17" s="7">
        <v>15</v>
      </c>
      <c r="D17" t="str">
        <f t="shared" ref="D17:D28" ca="1" si="0">_xlfn.TEXTJOIN(", ", TRUE, RANDBETWEEN(20, 85), RANDBETWEEN(20, 85), RANDBETWEEN(20, 85), RANDBETWEEN(20, 85), RANDBETWEEN(20, 85), RANDBETWEEN(20, 85), RANDBETWEEN(20, 85), RANDBETWEEN(20, 85), RANDBETWEEN(20, 85), RANDBETWEEN(20, 85))</f>
        <v>57, 42, 37, 48, 78, 21, 28, 36, 65, 84</v>
      </c>
      <c r="E17" s="54" cm="1">
        <f t="array" aca="1" ref="E17" ca="1">AverageStipeDiameter(D17)</f>
        <v>49.6</v>
      </c>
      <c r="F17" s="29">
        <v>22</v>
      </c>
      <c r="G17" s="7"/>
      <c r="H17" s="7"/>
      <c r="I17" s="43"/>
      <c r="J17" s="92" cm="1">
        <f t="array" ref="J17">AverageStipeDiameter(I17)</f>
        <v>0</v>
      </c>
    </row>
    <row r="18" spans="1:10" x14ac:dyDescent="0.35">
      <c r="A18" s="27">
        <v>3</v>
      </c>
      <c r="B18" s="7">
        <v>1</v>
      </c>
      <c r="C18" s="7">
        <v>10</v>
      </c>
      <c r="D18" t="str">
        <f t="shared" ca="1" si="0"/>
        <v>46, 58, 26, 62, 41, 37, 85, 67, 79, 84</v>
      </c>
      <c r="E18" s="54" cm="1">
        <f t="array" aca="1" ref="E18" ca="1">AverageStipeDiameter(D18)</f>
        <v>58.5</v>
      </c>
      <c r="F18" s="29">
        <v>23</v>
      </c>
      <c r="G18" s="7"/>
      <c r="H18" s="7"/>
      <c r="I18" s="43"/>
      <c r="J18" s="92" cm="1">
        <f t="array" ref="J18">AverageStipeDiameter(I18)</f>
        <v>0</v>
      </c>
    </row>
    <row r="19" spans="1:10" x14ac:dyDescent="0.35">
      <c r="A19" s="27">
        <v>4</v>
      </c>
      <c r="B19" s="7">
        <v>1</v>
      </c>
      <c r="C19" s="7">
        <v>3</v>
      </c>
      <c r="D19" t="str">
        <f t="shared" ca="1" si="0"/>
        <v>20, 76, 69, 37, 54, 28, 68, 23, 62, 63</v>
      </c>
      <c r="E19" s="54" cm="1">
        <f t="array" aca="1" ref="E19" ca="1">AverageStipeDiameter(D19)</f>
        <v>50</v>
      </c>
      <c r="F19" s="29">
        <v>24</v>
      </c>
      <c r="G19" s="7"/>
      <c r="H19" s="7"/>
      <c r="I19" s="43"/>
      <c r="J19" s="92" cm="1">
        <f t="array" ref="J19">AverageStipeDiameter(I19)</f>
        <v>0</v>
      </c>
    </row>
    <row r="20" spans="1:10" x14ac:dyDescent="0.35">
      <c r="A20" s="27">
        <v>5</v>
      </c>
      <c r="B20" s="7">
        <v>1</v>
      </c>
      <c r="C20" s="7">
        <v>8</v>
      </c>
      <c r="D20" t="str">
        <f t="shared" ca="1" si="0"/>
        <v>29, 77, 21, 65, 80, 71, 39, 30, 23, 34</v>
      </c>
      <c r="E20" s="54" cm="1">
        <f t="array" aca="1" ref="E20" ca="1">AverageStipeDiameter(D20)</f>
        <v>46.9</v>
      </c>
      <c r="F20" s="29">
        <v>25</v>
      </c>
      <c r="G20" s="7"/>
      <c r="H20" s="7"/>
      <c r="I20" s="43"/>
      <c r="J20" s="92" cm="1">
        <f t="array" ref="J20">AverageStipeDiameter(I20)</f>
        <v>0</v>
      </c>
    </row>
    <row r="21" spans="1:10" x14ac:dyDescent="0.35">
      <c r="A21" s="27">
        <v>6</v>
      </c>
      <c r="B21" s="7">
        <v>1</v>
      </c>
      <c r="C21" s="7">
        <v>4</v>
      </c>
      <c r="D21" t="str">
        <f t="shared" ca="1" si="0"/>
        <v>34, 42, 71, 83, 22, 62, 42, 23, 81, 76</v>
      </c>
      <c r="E21" s="54" cm="1">
        <f t="array" aca="1" ref="E21" ca="1">AverageStipeDiameter(D21)</f>
        <v>53.6</v>
      </c>
      <c r="F21" s="29">
        <v>26</v>
      </c>
      <c r="G21" s="7"/>
      <c r="H21" s="7"/>
      <c r="I21" s="43"/>
      <c r="J21" s="92" cm="1">
        <f t="array" ref="J21">AverageStipeDiameter(I21)</f>
        <v>0</v>
      </c>
    </row>
    <row r="22" spans="1:10" x14ac:dyDescent="0.35">
      <c r="A22" s="27">
        <v>7</v>
      </c>
      <c r="B22" s="7">
        <v>0.5</v>
      </c>
      <c r="C22" s="7">
        <v>10</v>
      </c>
      <c r="D22" t="str">
        <f t="shared" ca="1" si="0"/>
        <v>31, 35, 26, 70, 47, 49, 46, 65, 48, 27</v>
      </c>
      <c r="E22" s="54" cm="1">
        <f t="array" aca="1" ref="E22" ca="1">AverageStipeDiameter(D22)</f>
        <v>44.4</v>
      </c>
      <c r="F22" s="29">
        <v>27</v>
      </c>
      <c r="G22" s="7"/>
      <c r="H22" s="7"/>
      <c r="I22" s="43"/>
      <c r="J22" s="92" cm="1">
        <f t="array" ref="J22">AverageStipeDiameter(I22)</f>
        <v>0</v>
      </c>
    </row>
    <row r="23" spans="1:10" x14ac:dyDescent="0.35">
      <c r="A23" s="27">
        <v>8</v>
      </c>
      <c r="B23" s="7">
        <v>2</v>
      </c>
      <c r="C23" s="7">
        <v>13</v>
      </c>
      <c r="D23" t="str">
        <f t="shared" ca="1" si="0"/>
        <v>66, 65, 37, 53, 78, 47, 23, 51, 57, 82</v>
      </c>
      <c r="E23" s="54" cm="1">
        <f t="array" aca="1" ref="E23" ca="1">AverageStipeDiameter(D23)</f>
        <v>55.9</v>
      </c>
      <c r="F23" s="29">
        <v>28</v>
      </c>
      <c r="G23" s="7"/>
      <c r="H23" s="7"/>
      <c r="I23" s="43"/>
      <c r="J23" s="92" cm="1">
        <f t="array" ref="J23">AverageStipeDiameter(I23)</f>
        <v>0</v>
      </c>
    </row>
    <row r="24" spans="1:10" x14ac:dyDescent="0.35">
      <c r="A24" s="27">
        <v>9</v>
      </c>
      <c r="B24" s="7">
        <v>1</v>
      </c>
      <c r="C24" s="7">
        <v>19</v>
      </c>
      <c r="D24" t="str">
        <f t="shared" ca="1" si="0"/>
        <v>54, 34, 68, 70, 48, 35, 67, 70, 58, 67</v>
      </c>
      <c r="E24" s="54" cm="1">
        <f t="array" aca="1" ref="E24" ca="1">AverageStipeDiameter(D24)</f>
        <v>57.1</v>
      </c>
      <c r="F24" s="29">
        <v>29</v>
      </c>
      <c r="G24" s="7"/>
      <c r="H24" s="7"/>
      <c r="I24" s="43"/>
      <c r="J24" s="92" cm="1">
        <f t="array" ref="J24">AverageStipeDiameter(I24)</f>
        <v>0</v>
      </c>
    </row>
    <row r="25" spans="1:10" x14ac:dyDescent="0.35">
      <c r="A25" s="27">
        <v>10</v>
      </c>
      <c r="B25" s="7">
        <v>1</v>
      </c>
      <c r="C25" s="7">
        <v>8</v>
      </c>
      <c r="D25" t="str">
        <f t="shared" ca="1" si="0"/>
        <v>53, 44, 77, 69, 41, 31, 45, 23, 69, 61</v>
      </c>
      <c r="E25" s="54" cm="1">
        <f t="array" aca="1" ref="E25" ca="1">AverageStipeDiameter(D25)</f>
        <v>51.3</v>
      </c>
      <c r="F25" s="29">
        <v>30</v>
      </c>
      <c r="G25" s="7"/>
      <c r="H25" s="7"/>
      <c r="I25" s="43"/>
      <c r="J25" s="92" cm="1">
        <f t="array" ref="J25">AverageStipeDiameter(I25)</f>
        <v>0</v>
      </c>
    </row>
    <row r="26" spans="1:10" x14ac:dyDescent="0.35">
      <c r="A26" s="27">
        <v>11</v>
      </c>
      <c r="B26" s="7">
        <v>2</v>
      </c>
      <c r="C26" s="7">
        <v>10</v>
      </c>
      <c r="D26" t="str">
        <f t="shared" ca="1" si="0"/>
        <v>28, 27, 65, 83, 61, 84, 42, 76, 20, 67</v>
      </c>
      <c r="E26" s="54" cm="1">
        <f t="array" aca="1" ref="E26" ca="1">AverageStipeDiameter(D26)</f>
        <v>55.3</v>
      </c>
      <c r="F26" s="29">
        <v>31</v>
      </c>
      <c r="G26" s="7"/>
      <c r="H26" s="7"/>
      <c r="I26" s="43"/>
      <c r="J26" s="92" cm="1">
        <f t="array" ref="J26">AverageStipeDiameter(I26)</f>
        <v>0</v>
      </c>
    </row>
    <row r="27" spans="1:10" x14ac:dyDescent="0.35">
      <c r="A27" s="27">
        <v>12</v>
      </c>
      <c r="B27" s="7">
        <v>2</v>
      </c>
      <c r="C27" s="7">
        <v>15</v>
      </c>
      <c r="D27" t="str">
        <f t="shared" ca="1" si="0"/>
        <v>68, 73, 85, 73, 57, 70, 68, 50, 27, 45</v>
      </c>
      <c r="E27" s="54" cm="1">
        <f t="array" aca="1" ref="E27" ca="1">AverageStipeDiameter(D27)</f>
        <v>61.6</v>
      </c>
      <c r="F27" s="29">
        <v>32</v>
      </c>
      <c r="G27" s="7"/>
      <c r="H27" s="7"/>
      <c r="I27" s="43"/>
      <c r="J27" s="92" cm="1">
        <f t="array" ref="J27">AverageStipeDiameter(I27)</f>
        <v>0</v>
      </c>
    </row>
    <row r="28" spans="1:10" x14ac:dyDescent="0.35">
      <c r="A28" s="27">
        <v>13</v>
      </c>
      <c r="B28" s="7">
        <v>2</v>
      </c>
      <c r="C28" s="7">
        <v>12</v>
      </c>
      <c r="D28" t="str">
        <f t="shared" ca="1" si="0"/>
        <v>51, 63, 28, 52, 65, 75, 51, 76, 59, 32</v>
      </c>
      <c r="E28" s="54" cm="1">
        <f t="array" aca="1" ref="E28" ca="1">AverageStipeDiameter(D28)</f>
        <v>55.2</v>
      </c>
      <c r="F28" s="29">
        <v>33</v>
      </c>
      <c r="G28" s="7"/>
      <c r="H28" s="7"/>
      <c r="I28" s="43"/>
      <c r="J28" s="92" cm="1">
        <f t="array" ref="J28">AverageStipeDiameter(I28)</f>
        <v>0</v>
      </c>
    </row>
    <row r="29" spans="1:10" x14ac:dyDescent="0.35">
      <c r="A29" s="27">
        <v>14</v>
      </c>
      <c r="B29" s="7"/>
      <c r="C29" s="7"/>
      <c r="D29" s="142"/>
      <c r="E29" s="54" cm="1">
        <f t="array" ref="E29">AverageStipeDiameter(D29)</f>
        <v>0</v>
      </c>
      <c r="F29" s="29">
        <v>34</v>
      </c>
      <c r="G29" s="7"/>
      <c r="H29" s="7"/>
      <c r="I29" s="43"/>
      <c r="J29" s="92" cm="1">
        <f t="array" ref="J29">AverageStipeDiameter(I29)</f>
        <v>0</v>
      </c>
    </row>
    <row r="30" spans="1:10" x14ac:dyDescent="0.35">
      <c r="A30" s="27">
        <v>15</v>
      </c>
      <c r="B30" s="7"/>
      <c r="C30" s="7"/>
      <c r="D30" s="142"/>
      <c r="E30" s="54" cm="1">
        <f t="array" ref="E30">AverageStipeDiameter(D30)</f>
        <v>0</v>
      </c>
      <c r="F30" s="29">
        <v>35</v>
      </c>
      <c r="G30" s="7"/>
      <c r="H30" s="7"/>
      <c r="I30" s="43"/>
      <c r="J30" s="92" cm="1">
        <f t="array" ref="J30">AverageStipeDiameter(I30)</f>
        <v>0</v>
      </c>
    </row>
    <row r="31" spans="1:10" x14ac:dyDescent="0.35">
      <c r="A31" s="27">
        <v>16</v>
      </c>
      <c r="B31" s="7"/>
      <c r="C31" s="7"/>
      <c r="D31" s="142"/>
      <c r="E31" s="54" cm="1">
        <f t="array" ref="E31">AverageStipeDiameter(D31)</f>
        <v>0</v>
      </c>
      <c r="F31" s="29">
        <v>36</v>
      </c>
      <c r="G31" s="7"/>
      <c r="H31" s="7"/>
      <c r="I31" s="43"/>
      <c r="J31" s="92" cm="1">
        <f t="array" ref="J31">AverageStipeDiameter(I31)</f>
        <v>0</v>
      </c>
    </row>
    <row r="32" spans="1:10" x14ac:dyDescent="0.35">
      <c r="A32" s="27">
        <v>17</v>
      </c>
      <c r="B32" s="7"/>
      <c r="C32" s="7"/>
      <c r="D32" s="142"/>
      <c r="E32" s="54" cm="1">
        <f t="array" ref="E32">AverageStipeDiameter(D32)</f>
        <v>0</v>
      </c>
      <c r="F32" s="29">
        <v>37</v>
      </c>
      <c r="G32" s="7"/>
      <c r="H32" s="7"/>
      <c r="I32" s="43"/>
      <c r="J32" s="92" cm="1">
        <f t="array" ref="J32">AverageStipeDiameter(I32)</f>
        <v>0</v>
      </c>
    </row>
    <row r="33" spans="1:10" x14ac:dyDescent="0.35">
      <c r="A33" s="27">
        <v>18</v>
      </c>
      <c r="B33" s="7"/>
      <c r="C33" s="7"/>
      <c r="D33" s="142"/>
      <c r="E33" s="54" cm="1">
        <f t="array" ref="E33">AverageStipeDiameter(D33)</f>
        <v>0</v>
      </c>
      <c r="F33" s="29">
        <v>38</v>
      </c>
      <c r="G33" s="7"/>
      <c r="H33" s="7"/>
      <c r="I33" s="43"/>
      <c r="J33" s="92" cm="1">
        <f t="array" ref="J33">AverageStipeDiameter(I33)</f>
        <v>0</v>
      </c>
    </row>
    <row r="34" spans="1:10" x14ac:dyDescent="0.35">
      <c r="A34" s="27">
        <v>19</v>
      </c>
      <c r="B34" s="7"/>
      <c r="C34" s="7"/>
      <c r="D34" s="142"/>
      <c r="E34" s="54" cm="1">
        <f t="array" ref="E34">AverageStipeDiameter(D34)</f>
        <v>0</v>
      </c>
      <c r="F34" s="29">
        <v>39</v>
      </c>
      <c r="G34" s="7"/>
      <c r="H34" s="7"/>
      <c r="I34" s="43"/>
      <c r="J34" s="92" cm="1">
        <f t="array" ref="J34">AverageStipeDiameter(I34)</f>
        <v>0</v>
      </c>
    </row>
    <row r="35" spans="1:10" ht="15" thickBot="1" x14ac:dyDescent="0.4">
      <c r="A35" s="28">
        <v>20</v>
      </c>
      <c r="B35" s="8"/>
      <c r="C35" s="8"/>
      <c r="D35" s="51"/>
      <c r="E35" s="93" cm="1">
        <f t="array" ref="E35">AverageStipeDiameter(D35)</f>
        <v>0</v>
      </c>
      <c r="F35" s="30">
        <v>40</v>
      </c>
      <c r="G35" s="8"/>
      <c r="H35" s="8"/>
      <c r="I35" s="44"/>
      <c r="J35" s="94" cm="1">
        <f t="array" ref="J35">AverageStipeDiameter(I35)</f>
        <v>0</v>
      </c>
    </row>
    <row r="36" spans="1:10" ht="17" thickBot="1" x14ac:dyDescent="0.4">
      <c r="A36" s="188" t="s">
        <v>133</v>
      </c>
      <c r="B36" s="189"/>
      <c r="C36" s="80">
        <v>1200</v>
      </c>
    </row>
    <row r="37" spans="1:10" ht="17" thickBot="1" x14ac:dyDescent="0.4">
      <c r="A37" s="186" t="s">
        <v>134</v>
      </c>
      <c r="B37" s="187"/>
      <c r="C37" s="81">
        <v>950</v>
      </c>
    </row>
    <row r="38" spans="1:10" ht="15" thickBot="1" x14ac:dyDescent="0.4">
      <c r="A38" s="182" t="s">
        <v>135</v>
      </c>
      <c r="B38" s="183"/>
      <c r="C38" s="78" cm="1">
        <f t="array" ref="C38">Bryozoans(B16:B35,G16:G35)</f>
        <v>15.576923076923077</v>
      </c>
    </row>
    <row r="39" spans="1:10" ht="15" thickBot="1" x14ac:dyDescent="0.4">
      <c r="A39" s="184" t="s">
        <v>136</v>
      </c>
      <c r="B39" s="185"/>
      <c r="C39" s="79" cm="1">
        <f t="array" aca="1" ref="C39" ca="1">AverageCSVcols(D16:D35,I16:I35)</f>
        <v>53.438461538461539</v>
      </c>
    </row>
    <row r="40" spans="1:10" ht="15" thickBot="1" x14ac:dyDescent="0.4">
      <c r="A40" s="186" t="s">
        <v>137</v>
      </c>
      <c r="B40" s="187"/>
      <c r="C40" s="77">
        <f>AVERAGE(C16:C35,H16:H35)</f>
        <v>10.153846153846153</v>
      </c>
    </row>
  </sheetData>
  <mergeCells count="24">
    <mergeCell ref="A36:B36"/>
    <mergeCell ref="A37:B37"/>
    <mergeCell ref="A38:B38"/>
    <mergeCell ref="A39:B39"/>
    <mergeCell ref="A40:B40"/>
    <mergeCell ref="A14:J14"/>
    <mergeCell ref="A5:B5"/>
    <mergeCell ref="C5:D5"/>
    <mergeCell ref="A6:B6"/>
    <mergeCell ref="C6:D6"/>
    <mergeCell ref="A7:F7"/>
    <mergeCell ref="G8:J8"/>
    <mergeCell ref="I9:J9"/>
    <mergeCell ref="I10:J10"/>
    <mergeCell ref="I11:J11"/>
    <mergeCell ref="I12:J12"/>
    <mergeCell ref="H13:J13"/>
    <mergeCell ref="A4:B4"/>
    <mergeCell ref="C4:D4"/>
    <mergeCell ref="A1:J1"/>
    <mergeCell ref="A2:B2"/>
    <mergeCell ref="C2:D2"/>
    <mergeCell ref="A3:B3"/>
    <mergeCell ref="C3:D3"/>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6B64F-18AD-4967-AD7A-6F8C802FADEF}">
  <sheetPr codeName="Sheet20">
    <tabColor theme="8" tint="0.39997558519241921"/>
  </sheetPr>
  <dimension ref="A1:J40"/>
  <sheetViews>
    <sheetView zoomScale="80" zoomScaleNormal="80" workbookViewId="0">
      <selection activeCell="C3" sqref="C3:D3"/>
    </sheetView>
  </sheetViews>
  <sheetFormatPr defaultRowHeight="14.5" x14ac:dyDescent="0.35"/>
  <cols>
    <col min="1" max="1" width="8.81640625" customWidth="1"/>
    <col min="2" max="2" width="12.1796875" bestFit="1" customWidth="1"/>
    <col min="3" max="3" width="10.1796875" customWidth="1"/>
    <col min="4" max="4" width="27" customWidth="1"/>
    <col min="5" max="5" width="21.1796875" customWidth="1"/>
    <col min="6" max="6" width="9.1796875" customWidth="1"/>
    <col min="7" max="7" width="20.81640625" customWidth="1"/>
    <col min="8" max="8" width="12.1796875" bestFit="1" customWidth="1"/>
    <col min="9" max="9" width="17.81640625" bestFit="1" customWidth="1"/>
    <col min="10" max="10" width="10.81640625" customWidth="1"/>
  </cols>
  <sheetData>
    <row r="1" spans="1:10" ht="15" thickBot="1" x14ac:dyDescent="0.4">
      <c r="A1" s="191" t="s">
        <v>66</v>
      </c>
      <c r="B1" s="192"/>
      <c r="C1" s="157"/>
      <c r="D1" s="157"/>
      <c r="E1" s="192"/>
      <c r="F1" s="192"/>
      <c r="G1" s="192"/>
      <c r="H1" s="192"/>
      <c r="I1" s="192"/>
      <c r="J1" s="193"/>
    </row>
    <row r="2" spans="1:10" x14ac:dyDescent="0.35">
      <c r="A2" s="194" t="s">
        <v>67</v>
      </c>
      <c r="B2" s="195"/>
      <c r="C2" s="170" t="s">
        <v>148</v>
      </c>
      <c r="D2" s="196"/>
      <c r="E2" s="39" t="s">
        <v>69</v>
      </c>
      <c r="F2" s="9"/>
      <c r="G2" s="18" t="s">
        <v>70</v>
      </c>
      <c r="H2" s="17"/>
      <c r="I2" s="19" t="s">
        <v>71</v>
      </c>
      <c r="J2" s="16"/>
    </row>
    <row r="3" spans="1:10" x14ac:dyDescent="0.35">
      <c r="A3" s="166" t="s">
        <v>72</v>
      </c>
      <c r="B3" s="172"/>
      <c r="C3" s="151" t="s">
        <v>182</v>
      </c>
      <c r="D3" s="152"/>
      <c r="E3" s="40" t="s">
        <v>73</v>
      </c>
      <c r="F3" s="12"/>
      <c r="G3" s="20" t="s">
        <v>74</v>
      </c>
      <c r="H3" s="20" t="s">
        <v>75</v>
      </c>
      <c r="I3" s="20" t="s">
        <v>76</v>
      </c>
      <c r="J3" s="22" t="s">
        <v>77</v>
      </c>
    </row>
    <row r="4" spans="1:10" x14ac:dyDescent="0.35">
      <c r="A4" s="166" t="s">
        <v>141</v>
      </c>
      <c r="B4" s="172"/>
      <c r="C4" s="151">
        <v>2019</v>
      </c>
      <c r="D4" s="173"/>
      <c r="E4" s="40"/>
      <c r="F4" s="12"/>
      <c r="G4" s="20"/>
      <c r="H4" s="20"/>
      <c r="I4" s="20"/>
      <c r="J4" s="22"/>
    </row>
    <row r="5" spans="1:10" x14ac:dyDescent="0.35">
      <c r="A5" s="166" t="s">
        <v>79</v>
      </c>
      <c r="B5" s="172"/>
      <c r="C5" s="153">
        <v>43681</v>
      </c>
      <c r="D5" s="152"/>
      <c r="E5" s="141" t="s">
        <v>80</v>
      </c>
      <c r="F5" s="10"/>
      <c r="G5" s="20" t="s">
        <v>81</v>
      </c>
      <c r="H5" s="3"/>
      <c r="I5" s="3"/>
      <c r="J5" s="4"/>
    </row>
    <row r="6" spans="1:10" ht="15" thickBot="1" x14ac:dyDescent="0.4">
      <c r="A6" s="168" t="s">
        <v>82</v>
      </c>
      <c r="B6" s="190"/>
      <c r="C6" s="154" t="s">
        <v>142</v>
      </c>
      <c r="D6" s="155"/>
      <c r="E6" s="144"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0.5</v>
      </c>
      <c r="C16" s="7">
        <v>5</v>
      </c>
      <c r="D16" t="str">
        <f ca="1">_xlfn.TEXTJOIN(", ", TRUE, RANDBETWEEN(20, 85), RANDBETWEEN(20, 85), RANDBETWEEN(20, 85), RANDBETWEEN(20, 85), RANDBETWEEN(20, 85), RANDBETWEEN(20, 85), RANDBETWEEN(20, 85), RANDBETWEEN(20, 85), RANDBETWEEN(20, 85), RANDBETWEEN(20, 85))</f>
        <v>84, 72, 69, 78, 74, 48, 38, 33, 64, 25</v>
      </c>
      <c r="E16" s="54" cm="1">
        <f t="array" aca="1" ref="E16" ca="1">AverageStipeDiameter(D16)</f>
        <v>58.5</v>
      </c>
      <c r="F16" s="29">
        <v>21</v>
      </c>
      <c r="G16" s="7"/>
      <c r="H16" s="7"/>
      <c r="J16" s="92" cm="1">
        <f t="array" ref="J16">AverageStipeDiameter(I16)</f>
        <v>0</v>
      </c>
    </row>
    <row r="17" spans="1:10" x14ac:dyDescent="0.35">
      <c r="A17" s="27">
        <v>2</v>
      </c>
      <c r="B17" s="7">
        <v>0.5</v>
      </c>
      <c r="C17" s="7">
        <v>15</v>
      </c>
      <c r="D17" t="str">
        <f t="shared" ref="D17:D35" ca="1" si="0">_xlfn.TEXTJOIN(", ", TRUE, RANDBETWEEN(20, 85), RANDBETWEEN(20, 85), RANDBETWEEN(20, 85), RANDBETWEEN(20, 85), RANDBETWEEN(20, 85), RANDBETWEEN(20, 85), RANDBETWEEN(20, 85), RANDBETWEEN(20, 85), RANDBETWEEN(20, 85), RANDBETWEEN(20, 85))</f>
        <v>34, 28, 40, 34, 30, 37, 63, 84, 63, 60</v>
      </c>
      <c r="E17" s="54" cm="1">
        <f t="array" aca="1" ref="E17" ca="1">AverageStipeDiameter(D17)</f>
        <v>47.3</v>
      </c>
      <c r="F17" s="29">
        <v>22</v>
      </c>
      <c r="G17" s="7"/>
      <c r="H17" s="7"/>
      <c r="I17" s="43"/>
      <c r="J17" s="92" cm="1">
        <f t="array" ref="J17">AverageStipeDiameter(I17)</f>
        <v>0</v>
      </c>
    </row>
    <row r="18" spans="1:10" x14ac:dyDescent="0.35">
      <c r="A18" s="27">
        <v>3</v>
      </c>
      <c r="B18" s="7">
        <v>1</v>
      </c>
      <c r="C18" s="7">
        <v>10</v>
      </c>
      <c r="D18" t="str">
        <f t="shared" ca="1" si="0"/>
        <v>78, 41, 51, 85, 63, 77, 83, 59, 75, 22</v>
      </c>
      <c r="E18" s="54" cm="1">
        <f t="array" aca="1" ref="E18" ca="1">AverageStipeDiameter(D18)</f>
        <v>63.4</v>
      </c>
      <c r="F18" s="29">
        <v>23</v>
      </c>
      <c r="G18" s="7"/>
      <c r="H18" s="7"/>
      <c r="I18" s="43"/>
      <c r="J18" s="92" cm="1">
        <f t="array" ref="J18">AverageStipeDiameter(I18)</f>
        <v>0</v>
      </c>
    </row>
    <row r="19" spans="1:10" x14ac:dyDescent="0.35">
      <c r="A19" s="27">
        <v>4</v>
      </c>
      <c r="B19" s="7">
        <v>1</v>
      </c>
      <c r="C19" s="7">
        <v>3</v>
      </c>
      <c r="D19" t="str">
        <f t="shared" ca="1" si="0"/>
        <v>40, 67, 85, 41, 20, 84, 26, 39, 34, 71</v>
      </c>
      <c r="E19" s="54" cm="1">
        <f t="array" aca="1" ref="E19" ca="1">AverageStipeDiameter(D19)</f>
        <v>50.7</v>
      </c>
      <c r="F19" s="29">
        <v>24</v>
      </c>
      <c r="G19" s="7"/>
      <c r="H19" s="7"/>
      <c r="I19" s="43"/>
      <c r="J19" s="92" cm="1">
        <f t="array" ref="J19">AverageStipeDiameter(I19)</f>
        <v>0</v>
      </c>
    </row>
    <row r="20" spans="1:10" x14ac:dyDescent="0.35">
      <c r="A20" s="27">
        <v>5</v>
      </c>
      <c r="B20" s="7">
        <v>1</v>
      </c>
      <c r="C20" s="7">
        <v>8</v>
      </c>
      <c r="D20" t="str">
        <f t="shared" ca="1" si="0"/>
        <v>69, 64, 28, 46, 29, 81, 40, 66, 84, 63</v>
      </c>
      <c r="E20" s="54" cm="1">
        <f t="array" aca="1" ref="E20" ca="1">AverageStipeDiameter(D20)</f>
        <v>57</v>
      </c>
      <c r="F20" s="29">
        <v>25</v>
      </c>
      <c r="G20" s="7"/>
      <c r="H20" s="7"/>
      <c r="I20" s="43"/>
      <c r="J20" s="92" cm="1">
        <f t="array" ref="J20">AverageStipeDiameter(I20)</f>
        <v>0</v>
      </c>
    </row>
    <row r="21" spans="1:10" x14ac:dyDescent="0.35">
      <c r="A21" s="27">
        <v>6</v>
      </c>
      <c r="B21" s="7">
        <v>1</v>
      </c>
      <c r="C21" s="7">
        <v>4</v>
      </c>
      <c r="D21" t="str">
        <f t="shared" ca="1" si="0"/>
        <v>77, 51, 48, 47, 71, 36, 67, 67, 74, 33</v>
      </c>
      <c r="E21" s="54" cm="1">
        <f t="array" aca="1" ref="E21" ca="1">AverageStipeDiameter(D21)</f>
        <v>57.1</v>
      </c>
      <c r="F21" s="29">
        <v>26</v>
      </c>
      <c r="G21" s="7"/>
      <c r="H21" s="7"/>
      <c r="I21" s="43"/>
      <c r="J21" s="92" cm="1">
        <f t="array" ref="J21">AverageStipeDiameter(I21)</f>
        <v>0</v>
      </c>
    </row>
    <row r="22" spans="1:10" x14ac:dyDescent="0.35">
      <c r="A22" s="27">
        <v>7</v>
      </c>
      <c r="B22" s="7">
        <v>0.5</v>
      </c>
      <c r="C22" s="7">
        <v>10</v>
      </c>
      <c r="D22" t="str">
        <f t="shared" ca="1" si="0"/>
        <v>48, 38, 59, 52, 75, 55, 42, 72, 79, 25</v>
      </c>
      <c r="E22" s="54" cm="1">
        <f t="array" aca="1" ref="E22" ca="1">AverageStipeDiameter(D22)</f>
        <v>54.5</v>
      </c>
      <c r="F22" s="29">
        <v>27</v>
      </c>
      <c r="G22" s="7"/>
      <c r="H22" s="7"/>
      <c r="I22" s="43"/>
      <c r="J22" s="92" cm="1">
        <f t="array" ref="J22">AverageStipeDiameter(I22)</f>
        <v>0</v>
      </c>
    </row>
    <row r="23" spans="1:10" x14ac:dyDescent="0.35">
      <c r="A23" s="27">
        <v>8</v>
      </c>
      <c r="B23" s="7">
        <v>2</v>
      </c>
      <c r="C23" s="7">
        <v>13</v>
      </c>
      <c r="D23" t="str">
        <f t="shared" ca="1" si="0"/>
        <v>31, 50, 75, 50, 20, 80, 80, 43, 54, 48</v>
      </c>
      <c r="E23" s="54" cm="1">
        <f t="array" aca="1" ref="E23" ca="1">AverageStipeDiameter(D23)</f>
        <v>53.1</v>
      </c>
      <c r="F23" s="29">
        <v>28</v>
      </c>
      <c r="G23" s="7"/>
      <c r="H23" s="7"/>
      <c r="I23" s="43"/>
      <c r="J23" s="92" cm="1">
        <f t="array" ref="J23">AverageStipeDiameter(I23)</f>
        <v>0</v>
      </c>
    </row>
    <row r="24" spans="1:10" x14ac:dyDescent="0.35">
      <c r="A24" s="27">
        <v>9</v>
      </c>
      <c r="B24" s="7">
        <v>1</v>
      </c>
      <c r="C24" s="7">
        <v>19</v>
      </c>
      <c r="D24" t="str">
        <f t="shared" ca="1" si="0"/>
        <v>45, 45, 35, 84, 65, 42, 30, 79, 74, 25</v>
      </c>
      <c r="E24" s="54" cm="1">
        <f t="array" aca="1" ref="E24" ca="1">AverageStipeDiameter(D24)</f>
        <v>52.4</v>
      </c>
      <c r="F24" s="29">
        <v>29</v>
      </c>
      <c r="G24" s="7"/>
      <c r="H24" s="7"/>
      <c r="I24" s="43"/>
      <c r="J24" s="92" cm="1">
        <f t="array" ref="J24">AverageStipeDiameter(I24)</f>
        <v>0</v>
      </c>
    </row>
    <row r="25" spans="1:10" x14ac:dyDescent="0.35">
      <c r="A25" s="27">
        <v>10</v>
      </c>
      <c r="B25" s="7">
        <v>1</v>
      </c>
      <c r="C25" s="7">
        <v>8</v>
      </c>
      <c r="D25" t="str">
        <f t="shared" ca="1" si="0"/>
        <v>83, 77, 52, 85, 75, 42, 61, 38, 50, 38</v>
      </c>
      <c r="E25" s="54" cm="1">
        <f t="array" aca="1" ref="E25" ca="1">AverageStipeDiameter(D25)</f>
        <v>60.1</v>
      </c>
      <c r="F25" s="29">
        <v>30</v>
      </c>
      <c r="G25" s="7"/>
      <c r="H25" s="7"/>
      <c r="I25" s="43"/>
      <c r="J25" s="92" cm="1">
        <f t="array" ref="J25">AverageStipeDiameter(I25)</f>
        <v>0</v>
      </c>
    </row>
    <row r="26" spans="1:10" x14ac:dyDescent="0.35">
      <c r="A26" s="27">
        <v>11</v>
      </c>
      <c r="B26" s="7">
        <v>2</v>
      </c>
      <c r="C26" s="7">
        <v>10</v>
      </c>
      <c r="D26" t="str">
        <f t="shared" ca="1" si="0"/>
        <v>61, 26, 23, 80, 81, 70, 62, 58, 69, 24</v>
      </c>
      <c r="E26" s="54" cm="1">
        <f t="array" aca="1" ref="E26" ca="1">AverageStipeDiameter(D26)</f>
        <v>55.4</v>
      </c>
      <c r="F26" s="29">
        <v>31</v>
      </c>
      <c r="G26" s="7"/>
      <c r="H26" s="7"/>
      <c r="I26" s="43"/>
      <c r="J26" s="92" cm="1">
        <f t="array" ref="J26">AverageStipeDiameter(I26)</f>
        <v>0</v>
      </c>
    </row>
    <row r="27" spans="1:10" x14ac:dyDescent="0.35">
      <c r="A27" s="27">
        <v>12</v>
      </c>
      <c r="B27" s="7">
        <v>2</v>
      </c>
      <c r="C27" s="7">
        <v>15</v>
      </c>
      <c r="D27" t="str">
        <f t="shared" ca="1" si="0"/>
        <v>26, 29, 46, 36, 84, 45, 84, 57, 23, 77</v>
      </c>
      <c r="E27" s="54" cm="1">
        <f t="array" aca="1" ref="E27" ca="1">AverageStipeDiameter(D27)</f>
        <v>50.7</v>
      </c>
      <c r="F27" s="29">
        <v>32</v>
      </c>
      <c r="G27" s="7"/>
      <c r="H27" s="7"/>
      <c r="I27" s="43"/>
      <c r="J27" s="92" cm="1">
        <f t="array" ref="J27">AverageStipeDiameter(I27)</f>
        <v>0</v>
      </c>
    </row>
    <row r="28" spans="1:10" x14ac:dyDescent="0.35">
      <c r="A28" s="27">
        <v>13</v>
      </c>
      <c r="B28" s="7">
        <v>2</v>
      </c>
      <c r="C28" s="7">
        <v>12</v>
      </c>
      <c r="D28" t="str">
        <f t="shared" ca="1" si="0"/>
        <v>36, 53, 63, 78, 48, 72, 71, 70, 46, 79</v>
      </c>
      <c r="E28" s="54" cm="1">
        <f t="array" aca="1" ref="E28" ca="1">AverageStipeDiameter(D28)</f>
        <v>61.6</v>
      </c>
      <c r="F28" s="29">
        <v>33</v>
      </c>
      <c r="G28" s="7"/>
      <c r="H28" s="7"/>
      <c r="I28" s="43"/>
      <c r="J28" s="92" cm="1">
        <f t="array" ref="J28">AverageStipeDiameter(I28)</f>
        <v>0</v>
      </c>
    </row>
    <row r="29" spans="1:10" x14ac:dyDescent="0.35">
      <c r="A29" s="27">
        <v>14</v>
      </c>
      <c r="B29" s="7">
        <v>1</v>
      </c>
      <c r="C29" s="7">
        <f ca="1">RANDBETWEEN(1,25)</f>
        <v>20</v>
      </c>
      <c r="D29" t="str">
        <f t="shared" ca="1" si="0"/>
        <v>65, 24, 60, 34, 76, 72, 24, 70, 45, 44</v>
      </c>
      <c r="E29" s="54" cm="1">
        <f t="array" aca="1" ref="E29" ca="1">AverageStipeDiameter(D29)</f>
        <v>51.4</v>
      </c>
      <c r="F29" s="29">
        <v>34</v>
      </c>
      <c r="G29" s="7"/>
      <c r="H29" s="7"/>
      <c r="I29" s="43"/>
      <c r="J29" s="92" cm="1">
        <f t="array" ref="J29">AverageStipeDiameter(I29)</f>
        <v>0</v>
      </c>
    </row>
    <row r="30" spans="1:10" x14ac:dyDescent="0.35">
      <c r="A30" s="27">
        <v>15</v>
      </c>
      <c r="B30" s="7">
        <v>1</v>
      </c>
      <c r="C30" s="7">
        <f t="shared" ref="C30:C35" ca="1" si="1">RANDBETWEEN(1,25)</f>
        <v>13</v>
      </c>
      <c r="D30" t="str">
        <f t="shared" ca="1" si="0"/>
        <v>23, 51, 48, 62, 28, 62, 22, 27, 43, 32</v>
      </c>
      <c r="E30" s="54" cm="1">
        <f t="array" aca="1" ref="E30" ca="1">AverageStipeDiameter(D30)</f>
        <v>39.799999999999997</v>
      </c>
      <c r="F30" s="29">
        <v>35</v>
      </c>
      <c r="G30" s="7"/>
      <c r="H30" s="7"/>
      <c r="I30" s="43"/>
      <c r="J30" s="92" cm="1">
        <f t="array" ref="J30">AverageStipeDiameter(I30)</f>
        <v>0</v>
      </c>
    </row>
    <row r="31" spans="1:10" x14ac:dyDescent="0.35">
      <c r="A31" s="27">
        <v>16</v>
      </c>
      <c r="B31" s="7">
        <v>0</v>
      </c>
      <c r="C31" s="7">
        <f t="shared" ca="1" si="1"/>
        <v>17</v>
      </c>
      <c r="D31" t="str">
        <f t="shared" ca="1" si="0"/>
        <v>57, 35, 74, 82, 22, 34, 76, 21, 35, 79</v>
      </c>
      <c r="E31" s="54" cm="1">
        <f t="array" aca="1" ref="E31" ca="1">AverageStipeDiameter(D31)</f>
        <v>51.5</v>
      </c>
      <c r="F31" s="29">
        <v>36</v>
      </c>
      <c r="G31" s="7"/>
      <c r="H31" s="7"/>
      <c r="I31" s="43"/>
      <c r="J31" s="92" cm="1">
        <f t="array" ref="J31">AverageStipeDiameter(I31)</f>
        <v>0</v>
      </c>
    </row>
    <row r="32" spans="1:10" x14ac:dyDescent="0.35">
      <c r="A32" s="27">
        <v>17</v>
      </c>
      <c r="B32" s="7">
        <v>0</v>
      </c>
      <c r="C32" s="7">
        <f t="shared" ca="1" si="1"/>
        <v>15</v>
      </c>
      <c r="D32" t="str">
        <f t="shared" ca="1" si="0"/>
        <v>38, 23, 64, 53, 57, 40, 60, 39, 52, 31</v>
      </c>
      <c r="E32" s="54" cm="1">
        <f t="array" aca="1" ref="E32" ca="1">AverageStipeDiameter(D32)</f>
        <v>45.7</v>
      </c>
      <c r="F32" s="29">
        <v>37</v>
      </c>
      <c r="G32" s="7"/>
      <c r="H32" s="7"/>
      <c r="I32" s="43"/>
      <c r="J32" s="92" cm="1">
        <f t="array" ref="J32">AverageStipeDiameter(I32)</f>
        <v>0</v>
      </c>
    </row>
    <row r="33" spans="1:10" x14ac:dyDescent="0.35">
      <c r="A33" s="27">
        <v>18</v>
      </c>
      <c r="B33" s="7">
        <v>0.5</v>
      </c>
      <c r="C33" s="7">
        <f t="shared" ca="1" si="1"/>
        <v>19</v>
      </c>
      <c r="D33" t="str">
        <f t="shared" ca="1" si="0"/>
        <v>53, 43, 51, 26, 78, 28, 25, 47, 39, 20</v>
      </c>
      <c r="E33" s="54" cm="1">
        <f t="array" aca="1" ref="E33" ca="1">AverageStipeDiameter(D33)</f>
        <v>41</v>
      </c>
      <c r="F33" s="29">
        <v>38</v>
      </c>
      <c r="G33" s="7"/>
      <c r="H33" s="7"/>
      <c r="I33" s="43"/>
      <c r="J33" s="92" cm="1">
        <f t="array" ref="J33">AverageStipeDiameter(I33)</f>
        <v>0</v>
      </c>
    </row>
    <row r="34" spans="1:10" x14ac:dyDescent="0.35">
      <c r="A34" s="27">
        <v>19</v>
      </c>
      <c r="B34" s="7">
        <v>0.5</v>
      </c>
      <c r="C34" s="7">
        <f t="shared" ca="1" si="1"/>
        <v>10</v>
      </c>
      <c r="D34" t="str">
        <f t="shared" ca="1" si="0"/>
        <v>25, 33, 32, 84, 56, 23, 40, 61, 68, 76</v>
      </c>
      <c r="E34" s="54" cm="1">
        <f t="array" aca="1" ref="E34" ca="1">AverageStipeDiameter(D34)</f>
        <v>49.8</v>
      </c>
      <c r="F34" s="29">
        <v>39</v>
      </c>
      <c r="G34" s="7"/>
      <c r="H34" s="7"/>
      <c r="I34" s="43"/>
      <c r="J34" s="92" cm="1">
        <f t="array" ref="J34">AverageStipeDiameter(I34)</f>
        <v>0</v>
      </c>
    </row>
    <row r="35" spans="1:10" ht="15" thickBot="1" x14ac:dyDescent="0.4">
      <c r="A35" s="28">
        <v>20</v>
      </c>
      <c r="B35" s="8">
        <v>2</v>
      </c>
      <c r="C35" s="7">
        <f t="shared" ca="1" si="1"/>
        <v>5</v>
      </c>
      <c r="D35" t="str">
        <f t="shared" ca="1" si="0"/>
        <v>35, 37, 30, 29, 79, 75, 70, 72, 60, 44</v>
      </c>
      <c r="E35" s="93" cm="1">
        <f t="array" aca="1" ref="E35" ca="1">AverageStipeDiameter(D35)</f>
        <v>53.1</v>
      </c>
      <c r="F35" s="30">
        <v>40</v>
      </c>
      <c r="G35" s="8"/>
      <c r="H35" s="8"/>
      <c r="I35" s="44"/>
      <c r="J35" s="94" cm="1">
        <f t="array" ref="J35">AverageStipeDiameter(I35)</f>
        <v>0</v>
      </c>
    </row>
    <row r="36" spans="1:10" ht="17" thickBot="1" x14ac:dyDescent="0.4">
      <c r="A36" s="188" t="s">
        <v>133</v>
      </c>
      <c r="B36" s="189"/>
      <c r="C36" s="80">
        <v>900</v>
      </c>
    </row>
    <row r="37" spans="1:10" ht="17" thickBot="1" x14ac:dyDescent="0.4">
      <c r="A37" s="186" t="s">
        <v>134</v>
      </c>
      <c r="B37" s="187"/>
      <c r="C37" s="81">
        <v>950</v>
      </c>
    </row>
    <row r="38" spans="1:10" ht="15" thickBot="1" x14ac:dyDescent="0.4">
      <c r="A38" s="182" t="s">
        <v>135</v>
      </c>
      <c r="B38" s="183"/>
      <c r="C38" s="78" cm="1">
        <f t="array" ref="C38">Bryozoans(B16:B35,G16:G35)</f>
        <v>14.583333333333334</v>
      </c>
    </row>
    <row r="39" spans="1:10" ht="15" thickBot="1" x14ac:dyDescent="0.4">
      <c r="A39" s="184" t="s">
        <v>136</v>
      </c>
      <c r="B39" s="185"/>
      <c r="C39" s="79" cm="1">
        <f t="array" aca="1" ref="C39" ca="1">AverageCSVcols(D16:D35,I16:I35)</f>
        <v>52.704999999999998</v>
      </c>
    </row>
    <row r="40" spans="1:10" ht="15" thickBot="1" x14ac:dyDescent="0.4">
      <c r="A40" s="186" t="s">
        <v>137</v>
      </c>
      <c r="B40" s="187"/>
      <c r="C40" s="77">
        <f ca="1">AVERAGE(C16:C35,H16:H35)</f>
        <v>11.55</v>
      </c>
    </row>
  </sheetData>
  <mergeCells count="24">
    <mergeCell ref="A36:B36"/>
    <mergeCell ref="A37:B37"/>
    <mergeCell ref="A38:B38"/>
    <mergeCell ref="A39:B39"/>
    <mergeCell ref="A40:B40"/>
    <mergeCell ref="A14:J14"/>
    <mergeCell ref="A5:B5"/>
    <mergeCell ref="C5:D5"/>
    <mergeCell ref="A6:B6"/>
    <mergeCell ref="C6:D6"/>
    <mergeCell ref="A7:F7"/>
    <mergeCell ref="G8:J8"/>
    <mergeCell ref="I9:J9"/>
    <mergeCell ref="I10:J10"/>
    <mergeCell ref="I11:J11"/>
    <mergeCell ref="I12:J12"/>
    <mergeCell ref="H13:J13"/>
    <mergeCell ref="A4:B4"/>
    <mergeCell ref="C4:D4"/>
    <mergeCell ref="A1:J1"/>
    <mergeCell ref="A2:B2"/>
    <mergeCell ref="C2:D2"/>
    <mergeCell ref="A3:B3"/>
    <mergeCell ref="C3:D3"/>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C57808-286A-4C1E-9CF7-A58DE70C6AA6}">
  <sheetPr codeName="Sheet33">
    <tabColor theme="8" tint="0.39997558519241921"/>
  </sheetPr>
  <dimension ref="A1:J40"/>
  <sheetViews>
    <sheetView zoomScale="80" zoomScaleNormal="80" workbookViewId="0">
      <selection activeCell="C3" sqref="C3:D3"/>
    </sheetView>
  </sheetViews>
  <sheetFormatPr defaultRowHeight="14.5" x14ac:dyDescent="0.35"/>
  <cols>
    <col min="1" max="1" width="8.81640625" customWidth="1"/>
    <col min="2" max="2" width="12.1796875" bestFit="1" customWidth="1"/>
    <col min="3" max="3" width="10.1796875" customWidth="1"/>
    <col min="4" max="4" width="27" customWidth="1"/>
    <col min="5" max="5" width="21.1796875" customWidth="1"/>
    <col min="6" max="6" width="9.1796875" customWidth="1"/>
    <col min="7" max="7" width="20.81640625" customWidth="1"/>
    <col min="8" max="8" width="12.1796875" bestFit="1" customWidth="1"/>
    <col min="9" max="9" width="17.81640625" bestFit="1" customWidth="1"/>
    <col min="10" max="10" width="10.81640625" customWidth="1"/>
  </cols>
  <sheetData>
    <row r="1" spans="1:10" ht="15" thickBot="1" x14ac:dyDescent="0.4">
      <c r="A1" s="191" t="s">
        <v>66</v>
      </c>
      <c r="B1" s="192"/>
      <c r="C1" s="157"/>
      <c r="D1" s="157"/>
      <c r="E1" s="192"/>
      <c r="F1" s="192"/>
      <c r="G1" s="192"/>
      <c r="H1" s="192"/>
      <c r="I1" s="192"/>
      <c r="J1" s="193"/>
    </row>
    <row r="2" spans="1:10" x14ac:dyDescent="0.35">
      <c r="A2" s="194" t="s">
        <v>67</v>
      </c>
      <c r="B2" s="195"/>
      <c r="C2" s="170" t="s">
        <v>149</v>
      </c>
      <c r="D2" s="196"/>
      <c r="E2" s="39" t="s">
        <v>69</v>
      </c>
      <c r="F2" s="9"/>
      <c r="G2" s="18" t="s">
        <v>70</v>
      </c>
      <c r="H2" s="17"/>
      <c r="I2" s="19" t="s">
        <v>71</v>
      </c>
      <c r="J2" s="16"/>
    </row>
    <row r="3" spans="1:10" x14ac:dyDescent="0.35">
      <c r="A3" s="166" t="s">
        <v>72</v>
      </c>
      <c r="B3" s="172"/>
      <c r="C3" s="151" t="s">
        <v>183</v>
      </c>
      <c r="D3" s="152"/>
      <c r="E3" s="40" t="s">
        <v>73</v>
      </c>
      <c r="F3" s="12"/>
      <c r="G3" s="20" t="s">
        <v>74</v>
      </c>
      <c r="H3" s="20" t="s">
        <v>75</v>
      </c>
      <c r="I3" s="20" t="s">
        <v>76</v>
      </c>
      <c r="J3" s="22" t="s">
        <v>77</v>
      </c>
    </row>
    <row r="4" spans="1:10" x14ac:dyDescent="0.35">
      <c r="A4" s="166" t="s">
        <v>141</v>
      </c>
      <c r="B4" s="172"/>
      <c r="C4" s="151">
        <v>2023</v>
      </c>
      <c r="D4" s="173"/>
      <c r="E4" s="40"/>
      <c r="F4" s="12"/>
      <c r="G4" s="20"/>
      <c r="H4" s="20"/>
      <c r="I4" s="20"/>
      <c r="J4" s="22"/>
    </row>
    <row r="5" spans="1:10" x14ac:dyDescent="0.35">
      <c r="A5" s="166" t="s">
        <v>79</v>
      </c>
      <c r="B5" s="172"/>
      <c r="C5" s="153">
        <v>45142</v>
      </c>
      <c r="D5" s="152"/>
      <c r="E5" s="145" t="s">
        <v>80</v>
      </c>
      <c r="F5" s="10"/>
      <c r="G5" s="20" t="s">
        <v>81</v>
      </c>
      <c r="H5" s="3"/>
      <c r="I5" s="3"/>
      <c r="J5" s="4"/>
    </row>
    <row r="6" spans="1:10" ht="15" thickBot="1" x14ac:dyDescent="0.4">
      <c r="A6" s="168" t="s">
        <v>82</v>
      </c>
      <c r="B6" s="190"/>
      <c r="C6" s="154" t="s">
        <v>142</v>
      </c>
      <c r="D6" s="155"/>
      <c r="E6" s="146"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0.5</v>
      </c>
      <c r="C16" s="7">
        <v>5</v>
      </c>
      <c r="D16" t="str">
        <f ca="1">_xlfn.TEXTJOIN(", ", TRUE, RANDBETWEEN(20, 85), RANDBETWEEN(20, 85), RANDBETWEEN(20, 85), RANDBETWEEN(20, 85), RANDBETWEEN(20, 85), RANDBETWEEN(20, 85), RANDBETWEEN(20, 85), RANDBETWEEN(20, 85), RANDBETWEEN(20, 85), RANDBETWEEN(20, 85))</f>
        <v>34, 55, 23, 43, 60, 73, 39, 68, 70, 82</v>
      </c>
      <c r="E16" s="54" cm="1">
        <f t="array" aca="1" ref="E16" ca="1">AverageStipeDiameter(D16)</f>
        <v>54.7</v>
      </c>
      <c r="F16" s="29">
        <v>21</v>
      </c>
      <c r="G16" s="7">
        <v>3</v>
      </c>
      <c r="H16" s="7">
        <f t="shared" ref="H16:H29" ca="1" si="0">RANDBETWEEN(1,25)</f>
        <v>4</v>
      </c>
      <c r="I16" t="str">
        <f t="shared" ref="I16:I29" ca="1" si="1">_xlfn.TEXTJOIN(", ", TRUE, RANDBETWEEN(20, 85), RANDBETWEEN(20, 85), RANDBETWEEN(20, 85), RANDBETWEEN(20, 85), RANDBETWEEN(20, 85), RANDBETWEEN(20, 85), RANDBETWEEN(20, 85), RANDBETWEEN(20, 85), RANDBETWEEN(20, 85), RANDBETWEEN(20, 85))</f>
        <v>29, 35, 83, 47, 44, 40, 31, 78, 70, 59</v>
      </c>
      <c r="J16" s="92" cm="1">
        <f t="array" aca="1" ref="J16" ca="1">AverageStipeDiameter(I16)</f>
        <v>51.6</v>
      </c>
    </row>
    <row r="17" spans="1:10" x14ac:dyDescent="0.35">
      <c r="A17" s="27">
        <v>2</v>
      </c>
      <c r="B17" s="7">
        <v>0.5</v>
      </c>
      <c r="C17" s="7">
        <v>15</v>
      </c>
      <c r="D17" t="str">
        <f t="shared" ref="D17:D35" ca="1" si="2">_xlfn.TEXTJOIN(", ", TRUE, RANDBETWEEN(20, 85), RANDBETWEEN(20, 85), RANDBETWEEN(20, 85), RANDBETWEEN(20, 85), RANDBETWEEN(20, 85), RANDBETWEEN(20, 85), RANDBETWEEN(20, 85), RANDBETWEEN(20, 85), RANDBETWEEN(20, 85), RANDBETWEEN(20, 85))</f>
        <v>85, 35, 81, 78, 32, 54, 60, 42, 22, 40</v>
      </c>
      <c r="E17" s="54" cm="1">
        <f t="array" aca="1" ref="E17" ca="1">AverageStipeDiameter(D17)</f>
        <v>52.9</v>
      </c>
      <c r="F17" s="29">
        <v>22</v>
      </c>
      <c r="G17" s="7">
        <v>2</v>
      </c>
      <c r="H17" s="7">
        <f t="shared" ca="1" si="0"/>
        <v>14</v>
      </c>
      <c r="I17" t="str">
        <f t="shared" ca="1" si="1"/>
        <v>48, 69, 79, 46, 49, 49, 44, 84, 37, 81</v>
      </c>
      <c r="J17" s="92" cm="1">
        <f t="array" aca="1" ref="J17" ca="1">AverageStipeDiameter(I17)</f>
        <v>58.6</v>
      </c>
    </row>
    <row r="18" spans="1:10" x14ac:dyDescent="0.35">
      <c r="A18" s="27">
        <v>3</v>
      </c>
      <c r="B18" s="7">
        <v>1</v>
      </c>
      <c r="C18" s="7">
        <v>10</v>
      </c>
      <c r="D18" t="str">
        <f t="shared" ca="1" si="2"/>
        <v>44, 44, 39, 78, 65, 30, 85, 54, 77, 67</v>
      </c>
      <c r="E18" s="54" cm="1">
        <f t="array" aca="1" ref="E18" ca="1">AverageStipeDiameter(D18)</f>
        <v>58.3</v>
      </c>
      <c r="F18" s="29">
        <v>23</v>
      </c>
      <c r="G18" s="7">
        <v>2</v>
      </c>
      <c r="H18" s="7">
        <f t="shared" ca="1" si="0"/>
        <v>22</v>
      </c>
      <c r="I18" t="str">
        <f t="shared" ca="1" si="1"/>
        <v>62, 68, 26, 52, 59, 81, 80, 30, 75, 67</v>
      </c>
      <c r="J18" s="92" cm="1">
        <f t="array" aca="1" ref="J18" ca="1">AverageStipeDiameter(I18)</f>
        <v>60</v>
      </c>
    </row>
    <row r="19" spans="1:10" x14ac:dyDescent="0.35">
      <c r="A19" s="27">
        <v>4</v>
      </c>
      <c r="B19" s="7">
        <v>1</v>
      </c>
      <c r="C19" s="7">
        <v>3</v>
      </c>
      <c r="D19" t="str">
        <f t="shared" ca="1" si="2"/>
        <v>74, 85, 53, 69, 59, 61, 42, 56, 83, 71</v>
      </c>
      <c r="E19" s="54" cm="1">
        <f t="array" aca="1" ref="E19" ca="1">AverageStipeDiameter(D19)</f>
        <v>65.3</v>
      </c>
      <c r="F19" s="29">
        <v>24</v>
      </c>
      <c r="G19" s="7">
        <v>2</v>
      </c>
      <c r="H19" s="7">
        <f t="shared" ca="1" si="0"/>
        <v>10</v>
      </c>
      <c r="I19" t="str">
        <f t="shared" ca="1" si="1"/>
        <v>64, 62, 77, 78, 78, 47, 77, 79, 77, 77</v>
      </c>
      <c r="J19" s="92" cm="1">
        <f t="array" aca="1" ref="J19" ca="1">AverageStipeDiameter(I19)</f>
        <v>71.599999999999994</v>
      </c>
    </row>
    <row r="20" spans="1:10" x14ac:dyDescent="0.35">
      <c r="A20" s="27">
        <v>5</v>
      </c>
      <c r="B20" s="7">
        <v>1</v>
      </c>
      <c r="C20" s="7">
        <v>8</v>
      </c>
      <c r="D20" t="str">
        <f t="shared" ca="1" si="2"/>
        <v>74, 21, 42, 46, 21, 42, 49, 22, 73, 37</v>
      </c>
      <c r="E20" s="54" cm="1">
        <f t="array" aca="1" ref="E20" ca="1">AverageStipeDiameter(D20)</f>
        <v>42.7</v>
      </c>
      <c r="F20" s="29">
        <v>25</v>
      </c>
      <c r="G20" s="7">
        <v>4</v>
      </c>
      <c r="H20" s="7">
        <f t="shared" ca="1" si="0"/>
        <v>3</v>
      </c>
      <c r="I20" t="str">
        <f t="shared" ca="1" si="1"/>
        <v>77, 33, 34, 33, 22, 46, 64, 59, 72, 44</v>
      </c>
      <c r="J20" s="92" cm="1">
        <f t="array" aca="1" ref="J20" ca="1">AverageStipeDiameter(I20)</f>
        <v>48.4</v>
      </c>
    </row>
    <row r="21" spans="1:10" x14ac:dyDescent="0.35">
      <c r="A21" s="27">
        <v>6</v>
      </c>
      <c r="B21" s="7">
        <v>1</v>
      </c>
      <c r="C21" s="7">
        <v>4</v>
      </c>
      <c r="D21" t="str">
        <f t="shared" ca="1" si="2"/>
        <v>50, 66, 26, 34, 42, 83, 85, 40, 47, 59</v>
      </c>
      <c r="E21" s="54" cm="1">
        <f t="array" aca="1" ref="E21" ca="1">AverageStipeDiameter(D21)</f>
        <v>53.2</v>
      </c>
      <c r="F21" s="29">
        <v>26</v>
      </c>
      <c r="G21" s="7">
        <v>0</v>
      </c>
      <c r="H21" s="7">
        <f t="shared" ca="1" si="0"/>
        <v>8</v>
      </c>
      <c r="I21" t="str">
        <f t="shared" ca="1" si="1"/>
        <v>82, 68, 32, 65, 45, 52, 22, 74, 47, 42</v>
      </c>
      <c r="J21" s="92" cm="1">
        <f t="array" aca="1" ref="J21" ca="1">AverageStipeDiameter(I21)</f>
        <v>52.9</v>
      </c>
    </row>
    <row r="22" spans="1:10" x14ac:dyDescent="0.35">
      <c r="A22" s="27">
        <v>7</v>
      </c>
      <c r="B22" s="7">
        <v>0.5</v>
      </c>
      <c r="C22" s="7">
        <v>10</v>
      </c>
      <c r="D22" t="str">
        <f t="shared" ca="1" si="2"/>
        <v>48, 33, 57, 78, 24, 61, 45, 50, 25, 21</v>
      </c>
      <c r="E22" s="54" cm="1">
        <f t="array" aca="1" ref="E22" ca="1">AverageStipeDiameter(D22)</f>
        <v>44.2</v>
      </c>
      <c r="F22" s="29">
        <v>27</v>
      </c>
      <c r="G22" s="7">
        <v>0.5</v>
      </c>
      <c r="H22" s="7">
        <f t="shared" ca="1" si="0"/>
        <v>4</v>
      </c>
      <c r="I22" t="str">
        <f t="shared" ca="1" si="1"/>
        <v>39, 50, 23, 43, 32, 63, 72, 82, 64, 36</v>
      </c>
      <c r="J22" s="92" cm="1">
        <f t="array" aca="1" ref="J22" ca="1">AverageStipeDiameter(I22)</f>
        <v>50.4</v>
      </c>
    </row>
    <row r="23" spans="1:10" x14ac:dyDescent="0.35">
      <c r="A23" s="27">
        <v>8</v>
      </c>
      <c r="B23" s="7">
        <v>2</v>
      </c>
      <c r="C23" s="7">
        <v>13</v>
      </c>
      <c r="D23" t="str">
        <f t="shared" ca="1" si="2"/>
        <v>73, 41, 31, 67, 42, 32, 44, 29, 66, 63</v>
      </c>
      <c r="E23" s="54" cm="1">
        <f t="array" aca="1" ref="E23" ca="1">AverageStipeDiameter(D23)</f>
        <v>48.8</v>
      </c>
      <c r="F23" s="29">
        <v>28</v>
      </c>
      <c r="G23" s="7">
        <v>1</v>
      </c>
      <c r="H23" s="7">
        <f t="shared" ca="1" si="0"/>
        <v>11</v>
      </c>
      <c r="I23" t="str">
        <f t="shared" ca="1" si="1"/>
        <v>61, 39, 85, 73, 64, 74, 39, 64, 40, 73</v>
      </c>
      <c r="J23" s="92" cm="1">
        <f t="array" aca="1" ref="J23" ca="1">AverageStipeDiameter(I23)</f>
        <v>61.2</v>
      </c>
    </row>
    <row r="24" spans="1:10" x14ac:dyDescent="0.35">
      <c r="A24" s="27">
        <v>9</v>
      </c>
      <c r="B24" s="7">
        <v>1</v>
      </c>
      <c r="C24" s="7">
        <v>19</v>
      </c>
      <c r="D24" t="str">
        <f t="shared" ca="1" si="2"/>
        <v>77, 54, 39, 80, 81, 78, 54, 27, 51, 51</v>
      </c>
      <c r="E24" s="54" cm="1">
        <f t="array" aca="1" ref="E24" ca="1">AverageStipeDiameter(D24)</f>
        <v>59.2</v>
      </c>
      <c r="F24" s="29">
        <v>29</v>
      </c>
      <c r="G24" s="7">
        <v>1</v>
      </c>
      <c r="H24" s="7">
        <f t="shared" ca="1" si="0"/>
        <v>8</v>
      </c>
      <c r="I24" t="str">
        <f t="shared" ca="1" si="1"/>
        <v>40, 35, 73, 74, 71, 82, 27, 74, 37, 24</v>
      </c>
      <c r="J24" s="92" cm="1">
        <f t="array" aca="1" ref="J24" ca="1">AverageStipeDiameter(I24)</f>
        <v>53.7</v>
      </c>
    </row>
    <row r="25" spans="1:10" x14ac:dyDescent="0.35">
      <c r="A25" s="27">
        <v>10</v>
      </c>
      <c r="B25" s="7">
        <v>1</v>
      </c>
      <c r="C25" s="7">
        <v>8</v>
      </c>
      <c r="D25" t="str">
        <f t="shared" ca="1" si="2"/>
        <v>57, 38, 50, 27, 35, 55, 30, 23, 56, 37</v>
      </c>
      <c r="E25" s="54" cm="1">
        <f t="array" aca="1" ref="E25" ca="1">AverageStipeDiameter(D25)</f>
        <v>40.799999999999997</v>
      </c>
      <c r="F25" s="29">
        <v>30</v>
      </c>
      <c r="G25" s="7">
        <v>1</v>
      </c>
      <c r="H25" s="7">
        <f t="shared" ca="1" si="0"/>
        <v>20</v>
      </c>
      <c r="I25" t="str">
        <f t="shared" ca="1" si="1"/>
        <v>27, 23, 36, 37, 34, 43, 52, 65, 74, 47</v>
      </c>
      <c r="J25" s="92" cm="1">
        <f t="array" aca="1" ref="J25" ca="1">AverageStipeDiameter(I25)</f>
        <v>43.8</v>
      </c>
    </row>
    <row r="26" spans="1:10" x14ac:dyDescent="0.35">
      <c r="A26" s="27">
        <v>11</v>
      </c>
      <c r="B26" s="7">
        <v>2</v>
      </c>
      <c r="C26" s="7">
        <v>10</v>
      </c>
      <c r="D26" t="str">
        <f t="shared" ca="1" si="2"/>
        <v>48, 72, 70, 23, 58, 40, 78, 65, 79, 25</v>
      </c>
      <c r="E26" s="54" cm="1">
        <f t="array" aca="1" ref="E26" ca="1">AverageStipeDiameter(D26)</f>
        <v>55.8</v>
      </c>
      <c r="F26" s="29">
        <v>31</v>
      </c>
      <c r="G26" s="7">
        <v>2</v>
      </c>
      <c r="H26" s="7">
        <f t="shared" ca="1" si="0"/>
        <v>1</v>
      </c>
      <c r="I26" t="str">
        <f t="shared" ca="1" si="1"/>
        <v>85, 26, 56, 59, 35, 34, 40, 24, 66, 30</v>
      </c>
      <c r="J26" s="92" cm="1">
        <f t="array" aca="1" ref="J26" ca="1">AverageStipeDiameter(I26)</f>
        <v>45.5</v>
      </c>
    </row>
    <row r="27" spans="1:10" x14ac:dyDescent="0.35">
      <c r="A27" s="27">
        <v>12</v>
      </c>
      <c r="B27" s="7">
        <v>2</v>
      </c>
      <c r="C27" s="7">
        <v>15</v>
      </c>
      <c r="D27" t="str">
        <f t="shared" ca="1" si="2"/>
        <v>38, 22, 59, 79, 62, 72, 80, 39, 32, 50</v>
      </c>
      <c r="E27" s="54" cm="1">
        <f t="array" aca="1" ref="E27" ca="1">AverageStipeDiameter(D27)</f>
        <v>53.3</v>
      </c>
      <c r="F27" s="29">
        <v>32</v>
      </c>
      <c r="G27" s="7">
        <v>4</v>
      </c>
      <c r="H27" s="7">
        <f t="shared" ca="1" si="0"/>
        <v>17</v>
      </c>
      <c r="I27" t="str">
        <f t="shared" ca="1" si="1"/>
        <v>52, 48, 45, 43, 69, 82, 32, 79, 26, 83</v>
      </c>
      <c r="J27" s="92" cm="1">
        <f t="array" aca="1" ref="J27" ca="1">AverageStipeDiameter(I27)</f>
        <v>55.9</v>
      </c>
    </row>
    <row r="28" spans="1:10" x14ac:dyDescent="0.35">
      <c r="A28" s="27">
        <v>13</v>
      </c>
      <c r="B28" s="7">
        <v>2</v>
      </c>
      <c r="C28" s="7">
        <v>12</v>
      </c>
      <c r="D28" t="str">
        <f t="shared" ca="1" si="2"/>
        <v>72, 52, 52, 36, 76, 23, 23, 34, 60, 60</v>
      </c>
      <c r="E28" s="54" cm="1">
        <f t="array" aca="1" ref="E28" ca="1">AverageStipeDiameter(D28)</f>
        <v>48.8</v>
      </c>
      <c r="F28" s="29">
        <v>33</v>
      </c>
      <c r="G28" s="7">
        <v>0</v>
      </c>
      <c r="H28" s="7">
        <f t="shared" ca="1" si="0"/>
        <v>6</v>
      </c>
      <c r="I28" t="str">
        <f t="shared" ca="1" si="1"/>
        <v>78, 52, 83, 60, 42, 80, 22, 57, 65, 79</v>
      </c>
      <c r="J28" s="92" cm="1">
        <f t="array" aca="1" ref="J28" ca="1">AverageStipeDiameter(I28)</f>
        <v>61.8</v>
      </c>
    </row>
    <row r="29" spans="1:10" x14ac:dyDescent="0.35">
      <c r="A29" s="27">
        <v>14</v>
      </c>
      <c r="B29" s="7">
        <v>0</v>
      </c>
      <c r="C29" s="7">
        <f ca="1">RANDBETWEEN(1,25)</f>
        <v>22</v>
      </c>
      <c r="D29" t="str">
        <f t="shared" ca="1" si="2"/>
        <v>22, 37, 64, 63, 55, 29, 53, 61, 61, 60</v>
      </c>
      <c r="E29" s="54" cm="1">
        <f t="array" aca="1" ref="E29" ca="1">AverageStipeDiameter(D29)</f>
        <v>50.5</v>
      </c>
      <c r="F29" s="29">
        <v>34</v>
      </c>
      <c r="G29" s="7">
        <v>1</v>
      </c>
      <c r="H29" s="7">
        <f t="shared" ca="1" si="0"/>
        <v>11</v>
      </c>
      <c r="I29" t="str">
        <f t="shared" ca="1" si="1"/>
        <v>64, 71, 54, 64, 23, 23, 74, 62, 26, 27</v>
      </c>
      <c r="J29" s="92" cm="1">
        <f t="array" aca="1" ref="J29" ca="1">AverageStipeDiameter(I29)</f>
        <v>48.8</v>
      </c>
    </row>
    <row r="30" spans="1:10" x14ac:dyDescent="0.35">
      <c r="A30" s="27">
        <v>15</v>
      </c>
      <c r="B30" s="7">
        <v>0</v>
      </c>
      <c r="C30" s="7">
        <f t="shared" ref="C30:C35" ca="1" si="3">RANDBETWEEN(1,25)</f>
        <v>24</v>
      </c>
      <c r="D30" t="str">
        <f t="shared" ca="1" si="2"/>
        <v>60, 31, 38, 82, 37, 62, 81, 26, 37, 76</v>
      </c>
      <c r="E30" s="54" cm="1">
        <f t="array" aca="1" ref="E30" ca="1">AverageStipeDiameter(D30)</f>
        <v>53</v>
      </c>
      <c r="F30" s="29">
        <v>35</v>
      </c>
      <c r="G30" s="7"/>
      <c r="H30" s="7"/>
      <c r="I30" s="43"/>
      <c r="J30" s="92" cm="1">
        <f t="array" ref="J30">AverageStipeDiameter(I30)</f>
        <v>0</v>
      </c>
    </row>
    <row r="31" spans="1:10" x14ac:dyDescent="0.35">
      <c r="A31" s="27">
        <v>16</v>
      </c>
      <c r="B31" s="7">
        <v>0.5</v>
      </c>
      <c r="C31" s="7">
        <f t="shared" ca="1" si="3"/>
        <v>19</v>
      </c>
      <c r="D31" t="str">
        <f t="shared" ca="1" si="2"/>
        <v>64, 59, 67, 38, 50, 85, 41, 33, 84, 60</v>
      </c>
      <c r="E31" s="54" cm="1">
        <f t="array" aca="1" ref="E31" ca="1">AverageStipeDiameter(D31)</f>
        <v>58.1</v>
      </c>
      <c r="F31" s="29">
        <v>36</v>
      </c>
      <c r="G31" s="7"/>
      <c r="H31" s="7"/>
      <c r="I31" s="43"/>
      <c r="J31" s="92" cm="1">
        <f t="array" ref="J31">AverageStipeDiameter(I31)</f>
        <v>0</v>
      </c>
    </row>
    <row r="32" spans="1:10" x14ac:dyDescent="0.35">
      <c r="A32" s="27">
        <v>17</v>
      </c>
      <c r="B32" s="7">
        <v>0.5</v>
      </c>
      <c r="C32" s="7">
        <f t="shared" ca="1" si="3"/>
        <v>12</v>
      </c>
      <c r="D32" t="str">
        <f t="shared" ca="1" si="2"/>
        <v>79, 46, 58, 45, 65, 39, 59, 76, 60, 55</v>
      </c>
      <c r="E32" s="54" cm="1">
        <f t="array" aca="1" ref="E32" ca="1">AverageStipeDiameter(D32)</f>
        <v>58.2</v>
      </c>
      <c r="F32" s="29">
        <v>37</v>
      </c>
      <c r="G32" s="7"/>
      <c r="H32" s="7"/>
      <c r="I32" s="43"/>
      <c r="J32" s="92" cm="1">
        <f t="array" ref="J32">AverageStipeDiameter(I32)</f>
        <v>0</v>
      </c>
    </row>
    <row r="33" spans="1:10" x14ac:dyDescent="0.35">
      <c r="A33" s="27">
        <v>18</v>
      </c>
      <c r="B33" s="7">
        <v>1</v>
      </c>
      <c r="C33" s="7">
        <f t="shared" ca="1" si="3"/>
        <v>15</v>
      </c>
      <c r="D33" t="str">
        <f t="shared" ca="1" si="2"/>
        <v>45, 27, 63, 33, 69, 24, 58, 39, 62, 68</v>
      </c>
      <c r="E33" s="54" cm="1">
        <f t="array" aca="1" ref="E33" ca="1">AverageStipeDiameter(D33)</f>
        <v>48.8</v>
      </c>
      <c r="F33" s="29">
        <v>38</v>
      </c>
      <c r="G33" s="7"/>
      <c r="H33" s="7"/>
      <c r="I33" s="43"/>
      <c r="J33" s="92" cm="1">
        <f t="array" ref="J33">AverageStipeDiameter(I33)</f>
        <v>0</v>
      </c>
    </row>
    <row r="34" spans="1:10" x14ac:dyDescent="0.35">
      <c r="A34" s="27">
        <v>19</v>
      </c>
      <c r="B34" s="7">
        <v>2</v>
      </c>
      <c r="C34" s="7">
        <f t="shared" ca="1" si="3"/>
        <v>24</v>
      </c>
      <c r="D34" t="str">
        <f t="shared" ca="1" si="2"/>
        <v>26, 64, 34, 57, 36, 29, 48, 55, 51, 75</v>
      </c>
      <c r="E34" s="54" cm="1">
        <f t="array" aca="1" ref="E34" ca="1">AverageStipeDiameter(D34)</f>
        <v>47.5</v>
      </c>
      <c r="F34" s="29">
        <v>39</v>
      </c>
      <c r="G34" s="7"/>
      <c r="H34" s="7"/>
      <c r="I34" s="43"/>
      <c r="J34" s="92" cm="1">
        <f t="array" ref="J34">AverageStipeDiameter(I34)</f>
        <v>0</v>
      </c>
    </row>
    <row r="35" spans="1:10" ht="15" thickBot="1" x14ac:dyDescent="0.4">
      <c r="A35" s="28">
        <v>20</v>
      </c>
      <c r="B35" s="8">
        <v>1</v>
      </c>
      <c r="C35" s="7">
        <f t="shared" ca="1" si="3"/>
        <v>18</v>
      </c>
      <c r="D35" t="str">
        <f t="shared" ca="1" si="2"/>
        <v>77, 59, 60, 31, 67, 43, 24, 27, 27, 52</v>
      </c>
      <c r="E35" s="93" cm="1">
        <f t="array" aca="1" ref="E35" ca="1">AverageStipeDiameter(D35)</f>
        <v>46.7</v>
      </c>
      <c r="F35" s="30">
        <v>40</v>
      </c>
      <c r="G35" s="8"/>
      <c r="H35" s="8"/>
      <c r="I35" s="44"/>
      <c r="J35" s="94" cm="1">
        <f t="array" ref="J35">AverageStipeDiameter(I35)</f>
        <v>0</v>
      </c>
    </row>
    <row r="36" spans="1:10" ht="17" thickBot="1" x14ac:dyDescent="0.4">
      <c r="A36" s="188" t="s">
        <v>133</v>
      </c>
      <c r="B36" s="189"/>
      <c r="C36" s="80">
        <v>1200</v>
      </c>
    </row>
    <row r="37" spans="1:10" ht="17" thickBot="1" x14ac:dyDescent="0.4">
      <c r="A37" s="186" t="s">
        <v>134</v>
      </c>
      <c r="B37" s="187"/>
      <c r="C37" s="81">
        <v>950</v>
      </c>
    </row>
    <row r="38" spans="1:10" ht="15" thickBot="1" x14ac:dyDescent="0.4">
      <c r="A38" s="182" t="s">
        <v>135</v>
      </c>
      <c r="B38" s="183"/>
      <c r="C38" s="78" cm="1">
        <f t="array" ref="C38">Bryozoans(B16:B35,G16:G35)</f>
        <v>20.833333333333332</v>
      </c>
    </row>
    <row r="39" spans="1:10" ht="15" thickBot="1" x14ac:dyDescent="0.4">
      <c r="A39" s="184" t="s">
        <v>136</v>
      </c>
      <c r="B39" s="185"/>
      <c r="C39" s="79" cm="1">
        <f t="array" aca="1" ref="C39" ca="1">AverageCSVcols(D16:D35,I16:I35)</f>
        <v>53.088235294117645</v>
      </c>
    </row>
    <row r="40" spans="1:10" ht="15" thickBot="1" x14ac:dyDescent="0.4">
      <c r="A40" s="186" t="s">
        <v>137</v>
      </c>
      <c r="B40" s="187"/>
      <c r="C40" s="77">
        <f ca="1">AVERAGE(C16:C35,H16:H35)</f>
        <v>11.911764705882353</v>
      </c>
    </row>
  </sheetData>
  <mergeCells count="24">
    <mergeCell ref="A36:B36"/>
    <mergeCell ref="A37:B37"/>
    <mergeCell ref="A38:B38"/>
    <mergeCell ref="A39:B39"/>
    <mergeCell ref="A40:B40"/>
    <mergeCell ref="A14:J14"/>
    <mergeCell ref="A5:B5"/>
    <mergeCell ref="C5:D5"/>
    <mergeCell ref="A6:B6"/>
    <mergeCell ref="C6:D6"/>
    <mergeCell ref="A7:F7"/>
    <mergeCell ref="G8:J8"/>
    <mergeCell ref="I9:J9"/>
    <mergeCell ref="I10:J10"/>
    <mergeCell ref="I11:J11"/>
    <mergeCell ref="I12:J12"/>
    <mergeCell ref="H13:J13"/>
    <mergeCell ref="A4:B4"/>
    <mergeCell ref="C4:D4"/>
    <mergeCell ref="A1:J1"/>
    <mergeCell ref="A2:B2"/>
    <mergeCell ref="C2:D2"/>
    <mergeCell ref="A3:B3"/>
    <mergeCell ref="C3:D3"/>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3C20A-DAA6-46A8-92F3-60BA67C8A6F2}">
  <sheetPr codeName="Sheet22">
    <tabColor theme="8" tint="0.39997558519241921"/>
  </sheetPr>
  <dimension ref="A1:J40"/>
  <sheetViews>
    <sheetView zoomScale="80" zoomScaleNormal="80" workbookViewId="0">
      <selection activeCell="C3" sqref="C3"/>
    </sheetView>
  </sheetViews>
  <sheetFormatPr defaultRowHeight="14.5" x14ac:dyDescent="0.35"/>
  <cols>
    <col min="1" max="1" width="8.81640625" customWidth="1"/>
    <col min="2" max="2" width="12.1796875" bestFit="1" customWidth="1"/>
    <col min="3" max="3" width="10.1796875" customWidth="1"/>
    <col min="4" max="4" width="27" customWidth="1"/>
    <col min="5" max="5" width="21.1796875" customWidth="1"/>
    <col min="6" max="6" width="9.1796875" customWidth="1"/>
    <col min="7" max="7" width="20.81640625" customWidth="1"/>
    <col min="8" max="8" width="12.1796875" bestFit="1" customWidth="1"/>
    <col min="9" max="9" width="17.81640625" bestFit="1" customWidth="1"/>
    <col min="10" max="10" width="10.81640625" customWidth="1"/>
  </cols>
  <sheetData>
    <row r="1" spans="1:10" ht="15" thickBot="1" x14ac:dyDescent="0.4">
      <c r="A1" s="191" t="s">
        <v>66</v>
      </c>
      <c r="B1" s="192"/>
      <c r="C1" s="157"/>
      <c r="D1" s="157"/>
      <c r="E1" s="192"/>
      <c r="F1" s="192"/>
      <c r="G1" s="192"/>
      <c r="H1" s="192"/>
      <c r="I1" s="192"/>
      <c r="J1" s="193"/>
    </row>
    <row r="2" spans="1:10" x14ac:dyDescent="0.35">
      <c r="A2" s="194" t="s">
        <v>67</v>
      </c>
      <c r="B2" s="195"/>
      <c r="C2" s="170" t="s">
        <v>149</v>
      </c>
      <c r="D2" s="196"/>
      <c r="E2" s="39" t="s">
        <v>69</v>
      </c>
      <c r="F2" s="9"/>
      <c r="G2" s="18" t="s">
        <v>70</v>
      </c>
      <c r="H2" s="17"/>
      <c r="I2" s="19" t="s">
        <v>71</v>
      </c>
      <c r="J2" s="16"/>
    </row>
    <row r="3" spans="1:10" x14ac:dyDescent="0.35">
      <c r="A3" s="166" t="s">
        <v>72</v>
      </c>
      <c r="B3" s="172"/>
      <c r="C3" t="s">
        <v>183</v>
      </c>
      <c r="E3" s="40" t="s">
        <v>73</v>
      </c>
      <c r="F3" s="12"/>
      <c r="G3" s="20" t="s">
        <v>74</v>
      </c>
      <c r="H3" s="20" t="s">
        <v>75</v>
      </c>
      <c r="I3" s="20" t="s">
        <v>76</v>
      </c>
      <c r="J3" s="22" t="s">
        <v>77</v>
      </c>
    </row>
    <row r="4" spans="1:10" x14ac:dyDescent="0.35">
      <c r="A4" s="166" t="s">
        <v>141</v>
      </c>
      <c r="B4" s="172"/>
      <c r="C4" s="151">
        <v>2024</v>
      </c>
      <c r="D4" s="173"/>
      <c r="E4" s="40"/>
      <c r="F4" s="12"/>
      <c r="G4" s="20"/>
      <c r="H4" s="20"/>
      <c r="I4" s="20"/>
      <c r="J4" s="22"/>
    </row>
    <row r="5" spans="1:10" x14ac:dyDescent="0.35">
      <c r="A5" s="166" t="s">
        <v>79</v>
      </c>
      <c r="B5" s="172"/>
      <c r="C5" s="153">
        <v>45508</v>
      </c>
      <c r="D5" s="152"/>
      <c r="E5" s="141" t="s">
        <v>80</v>
      </c>
      <c r="F5" s="10"/>
      <c r="G5" s="20" t="s">
        <v>81</v>
      </c>
      <c r="H5" s="3"/>
      <c r="I5" s="3"/>
      <c r="J5" s="4"/>
    </row>
    <row r="6" spans="1:10" ht="15" thickBot="1" x14ac:dyDescent="0.4">
      <c r="A6" s="168" t="s">
        <v>82</v>
      </c>
      <c r="B6" s="190"/>
      <c r="C6" s="154" t="s">
        <v>142</v>
      </c>
      <c r="D6" s="155"/>
      <c r="E6" s="144"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0.5</v>
      </c>
      <c r="C16" s="7">
        <v>5</v>
      </c>
      <c r="D16" t="str">
        <f ca="1">_xlfn.TEXTJOIN(", ", TRUE, RANDBETWEEN(20, 85), RANDBETWEEN(20, 85), RANDBETWEEN(20, 85), RANDBETWEEN(20, 85), RANDBETWEEN(20, 85), RANDBETWEEN(20, 85), RANDBETWEEN(20, 85), RANDBETWEEN(20, 85), RANDBETWEEN(20, 85), RANDBETWEEN(20, 85))</f>
        <v>28, 80, 38, 23, 68, 42, 30, 75, 45, 24</v>
      </c>
      <c r="E16" s="54" cm="1">
        <f t="array" aca="1" ref="E16" ca="1">AverageStipeDiameter(D16)</f>
        <v>45.3</v>
      </c>
      <c r="F16" s="29">
        <v>21</v>
      </c>
      <c r="G16" s="7">
        <v>3</v>
      </c>
      <c r="H16" s="7">
        <f t="shared" ref="H16:H22" ca="1" si="0">RANDBETWEEN(1,25)</f>
        <v>25</v>
      </c>
      <c r="I16" t="str">
        <f t="shared" ref="I16:I22" ca="1" si="1">_xlfn.TEXTJOIN(", ", TRUE, RANDBETWEEN(20, 85), RANDBETWEEN(20, 85), RANDBETWEEN(20, 85), RANDBETWEEN(20, 85), RANDBETWEEN(20, 85), RANDBETWEEN(20, 85), RANDBETWEEN(20, 85), RANDBETWEEN(20, 85), RANDBETWEEN(20, 85), RANDBETWEEN(20, 85))</f>
        <v>63, 80, 60, 24, 23, 21, 52, 62, 27, 49</v>
      </c>
      <c r="J16" s="92" cm="1">
        <f t="array" aca="1" ref="J16" ca="1">AverageStipeDiameter(I16)</f>
        <v>46.1</v>
      </c>
    </row>
    <row r="17" spans="1:10" x14ac:dyDescent="0.35">
      <c r="A17" s="27">
        <v>2</v>
      </c>
      <c r="B17" s="7">
        <v>0.5</v>
      </c>
      <c r="C17" s="7">
        <v>15</v>
      </c>
      <c r="D17" t="str">
        <f t="shared" ref="D17:D35" ca="1" si="2">_xlfn.TEXTJOIN(", ", TRUE, RANDBETWEEN(20, 85), RANDBETWEEN(20, 85), RANDBETWEEN(20, 85), RANDBETWEEN(20, 85), RANDBETWEEN(20, 85), RANDBETWEEN(20, 85), RANDBETWEEN(20, 85), RANDBETWEEN(20, 85), RANDBETWEEN(20, 85), RANDBETWEEN(20, 85))</f>
        <v>30, 33, 62, 54, 51, 82, 40, 44, 20, 42</v>
      </c>
      <c r="E17" s="54" cm="1">
        <f t="array" aca="1" ref="E17" ca="1">AverageStipeDiameter(D17)</f>
        <v>45.8</v>
      </c>
      <c r="F17" s="29">
        <v>22</v>
      </c>
      <c r="G17" s="7">
        <v>2</v>
      </c>
      <c r="H17" s="7">
        <f t="shared" ca="1" si="0"/>
        <v>2</v>
      </c>
      <c r="I17" t="str">
        <f t="shared" ca="1" si="1"/>
        <v>42, 56, 34, 79, 46, 54, 48, 65, 71, 31</v>
      </c>
      <c r="J17" s="92" cm="1">
        <f t="array" aca="1" ref="J17" ca="1">AverageStipeDiameter(I17)</f>
        <v>52.6</v>
      </c>
    </row>
    <row r="18" spans="1:10" x14ac:dyDescent="0.35">
      <c r="A18" s="27">
        <v>3</v>
      </c>
      <c r="B18" s="7">
        <v>1</v>
      </c>
      <c r="C18" s="7">
        <v>10</v>
      </c>
      <c r="D18" t="str">
        <f t="shared" ca="1" si="2"/>
        <v>55, 63, 56, 36, 81, 20, 67, 25, 53, 48</v>
      </c>
      <c r="E18" s="54" cm="1">
        <f t="array" aca="1" ref="E18" ca="1">AverageStipeDiameter(D18)</f>
        <v>50.4</v>
      </c>
      <c r="F18" s="29">
        <v>23</v>
      </c>
      <c r="G18" s="7">
        <v>2</v>
      </c>
      <c r="H18" s="7">
        <f t="shared" ca="1" si="0"/>
        <v>19</v>
      </c>
      <c r="I18" t="str">
        <f t="shared" ca="1" si="1"/>
        <v>53, 71, 34, 25, 80, 25, 43, 60, 77, 56</v>
      </c>
      <c r="J18" s="92" cm="1">
        <f t="array" aca="1" ref="J18" ca="1">AverageStipeDiameter(I18)</f>
        <v>52.4</v>
      </c>
    </row>
    <row r="19" spans="1:10" x14ac:dyDescent="0.35">
      <c r="A19" s="27">
        <v>4</v>
      </c>
      <c r="B19" s="7">
        <v>1</v>
      </c>
      <c r="C19" s="7">
        <v>3</v>
      </c>
      <c r="D19" t="str">
        <f t="shared" ca="1" si="2"/>
        <v>53, 64, 72, 35, 40, 50, 37, 48, 78, 34</v>
      </c>
      <c r="E19" s="54" cm="1">
        <f t="array" aca="1" ref="E19" ca="1">AverageStipeDiameter(D19)</f>
        <v>51.1</v>
      </c>
      <c r="F19" s="29">
        <v>24</v>
      </c>
      <c r="G19" s="7">
        <v>2</v>
      </c>
      <c r="H19" s="7">
        <f t="shared" ca="1" si="0"/>
        <v>16</v>
      </c>
      <c r="I19" t="str">
        <f t="shared" ca="1" si="1"/>
        <v>63, 58, 38, 59, 60, 53, 21, 45, 51, 47</v>
      </c>
      <c r="J19" s="92" cm="1">
        <f t="array" aca="1" ref="J19" ca="1">AverageStipeDiameter(I19)</f>
        <v>49.5</v>
      </c>
    </row>
    <row r="20" spans="1:10" x14ac:dyDescent="0.35">
      <c r="A20" s="27">
        <v>5</v>
      </c>
      <c r="B20" s="7">
        <v>1</v>
      </c>
      <c r="C20" s="7">
        <v>8</v>
      </c>
      <c r="D20" t="str">
        <f t="shared" ca="1" si="2"/>
        <v>58, 32, 33, 23, 33, 41, 53, 76, 70, 22</v>
      </c>
      <c r="E20" s="54" cm="1">
        <f t="array" aca="1" ref="E20" ca="1">AverageStipeDiameter(D20)</f>
        <v>44.1</v>
      </c>
      <c r="F20" s="29">
        <v>25</v>
      </c>
      <c r="G20" s="7">
        <v>4</v>
      </c>
      <c r="H20" s="7">
        <f t="shared" ca="1" si="0"/>
        <v>2</v>
      </c>
      <c r="I20" t="str">
        <f t="shared" ca="1" si="1"/>
        <v>73, 55, 46, 34, 48, 81, 33, 33, 29, 58</v>
      </c>
      <c r="J20" s="92" cm="1">
        <f t="array" aca="1" ref="J20" ca="1">AverageStipeDiameter(I20)</f>
        <v>49</v>
      </c>
    </row>
    <row r="21" spans="1:10" x14ac:dyDescent="0.35">
      <c r="A21" s="27">
        <v>6</v>
      </c>
      <c r="B21" s="7">
        <v>1</v>
      </c>
      <c r="C21" s="7">
        <v>4</v>
      </c>
      <c r="D21" t="str">
        <f t="shared" ca="1" si="2"/>
        <v>42, 63, 75, 26, 54, 29, 63, 45, 67, 50</v>
      </c>
      <c r="E21" s="54" cm="1">
        <f t="array" aca="1" ref="E21" ca="1">AverageStipeDiameter(D21)</f>
        <v>51.4</v>
      </c>
      <c r="F21" s="29">
        <v>26</v>
      </c>
      <c r="G21" s="7">
        <v>0</v>
      </c>
      <c r="H21" s="7">
        <f t="shared" ca="1" si="0"/>
        <v>1</v>
      </c>
      <c r="I21" t="str">
        <f t="shared" ca="1" si="1"/>
        <v>82, 79, 20, 29, 75, 73, 63, 49, 50, 74</v>
      </c>
      <c r="J21" s="92" cm="1">
        <f t="array" aca="1" ref="J21" ca="1">AverageStipeDiameter(I21)</f>
        <v>59.4</v>
      </c>
    </row>
    <row r="22" spans="1:10" x14ac:dyDescent="0.35">
      <c r="A22" s="27">
        <v>7</v>
      </c>
      <c r="B22" s="7">
        <v>0.5</v>
      </c>
      <c r="C22" s="7">
        <v>10</v>
      </c>
      <c r="D22" t="str">
        <f t="shared" ca="1" si="2"/>
        <v>21, 23, 45, 64, 22, 45, 63, 30, 68, 81</v>
      </c>
      <c r="E22" s="54" cm="1">
        <f t="array" aca="1" ref="E22" ca="1">AverageStipeDiameter(D22)</f>
        <v>46.2</v>
      </c>
      <c r="F22" s="29">
        <v>27</v>
      </c>
      <c r="G22" s="7">
        <v>0.5</v>
      </c>
      <c r="H22" s="7">
        <f t="shared" ca="1" si="0"/>
        <v>11</v>
      </c>
      <c r="I22" t="str">
        <f t="shared" ca="1" si="1"/>
        <v>31, 32, 26, 61, 69, 77, 23, 47, 50, 63</v>
      </c>
      <c r="J22" s="92" cm="1">
        <f t="array" aca="1" ref="J22" ca="1">AverageStipeDiameter(I22)</f>
        <v>47.9</v>
      </c>
    </row>
    <row r="23" spans="1:10" x14ac:dyDescent="0.35">
      <c r="A23" s="27">
        <v>8</v>
      </c>
      <c r="B23" s="7">
        <v>2</v>
      </c>
      <c r="C23" s="7">
        <v>13</v>
      </c>
      <c r="D23" t="str">
        <f t="shared" ca="1" si="2"/>
        <v>73, 22, 84, 72, 79, 57, 31, 20, 53, 77</v>
      </c>
      <c r="E23" s="54" cm="1">
        <f t="array" aca="1" ref="E23" ca="1">AverageStipeDiameter(D23)</f>
        <v>56.8</v>
      </c>
      <c r="F23" s="29">
        <v>28</v>
      </c>
      <c r="G23" s="7"/>
      <c r="H23" s="7"/>
      <c r="J23" s="92" cm="1">
        <f t="array" ref="J23">AverageStipeDiameter(I23)</f>
        <v>0</v>
      </c>
    </row>
    <row r="24" spans="1:10" x14ac:dyDescent="0.35">
      <c r="A24" s="27">
        <v>9</v>
      </c>
      <c r="B24" s="7">
        <v>1</v>
      </c>
      <c r="C24" s="7">
        <v>19</v>
      </c>
      <c r="D24" t="str">
        <f t="shared" ca="1" si="2"/>
        <v>55, 60, 60, 60, 71, 32, 48, 48, 31, 41</v>
      </c>
      <c r="E24" s="54" cm="1">
        <f t="array" aca="1" ref="E24" ca="1">AverageStipeDiameter(D24)</f>
        <v>50.6</v>
      </c>
      <c r="F24" s="29">
        <v>29</v>
      </c>
      <c r="G24" s="7"/>
      <c r="H24" s="7"/>
      <c r="J24" s="92" cm="1">
        <f t="array" ref="J24">AverageStipeDiameter(I24)</f>
        <v>0</v>
      </c>
    </row>
    <row r="25" spans="1:10" x14ac:dyDescent="0.35">
      <c r="A25" s="27">
        <v>10</v>
      </c>
      <c r="B25" s="7">
        <v>1</v>
      </c>
      <c r="C25" s="7">
        <v>8</v>
      </c>
      <c r="D25" t="str">
        <f t="shared" ca="1" si="2"/>
        <v>78, 33, 45, 70, 77, 66, 84, 27, 29, 77</v>
      </c>
      <c r="E25" s="54" cm="1">
        <f t="array" aca="1" ref="E25" ca="1">AverageStipeDiameter(D25)</f>
        <v>58.6</v>
      </c>
      <c r="F25" s="29">
        <v>30</v>
      </c>
      <c r="G25" s="7"/>
      <c r="H25" s="7"/>
      <c r="J25" s="92" cm="1">
        <f t="array" ref="J25">AverageStipeDiameter(I25)</f>
        <v>0</v>
      </c>
    </row>
    <row r="26" spans="1:10" x14ac:dyDescent="0.35">
      <c r="A26" s="27">
        <v>11</v>
      </c>
      <c r="B26" s="7">
        <v>2</v>
      </c>
      <c r="C26" s="7">
        <v>10</v>
      </c>
      <c r="D26" t="str">
        <f t="shared" ca="1" si="2"/>
        <v>48, 24, 49, 52, 64, 51, 52, 30, 48, 49</v>
      </c>
      <c r="E26" s="54" cm="1">
        <f t="array" aca="1" ref="E26" ca="1">AverageStipeDiameter(D26)</f>
        <v>46.7</v>
      </c>
      <c r="F26" s="29">
        <v>31</v>
      </c>
      <c r="G26" s="7"/>
      <c r="H26" s="7"/>
      <c r="J26" s="92" cm="1">
        <f t="array" ref="J26">AverageStipeDiameter(I26)</f>
        <v>0</v>
      </c>
    </row>
    <row r="27" spans="1:10" x14ac:dyDescent="0.35">
      <c r="A27" s="27">
        <v>12</v>
      </c>
      <c r="B27" s="7">
        <v>2</v>
      </c>
      <c r="C27" s="7">
        <v>15</v>
      </c>
      <c r="D27" t="str">
        <f t="shared" ca="1" si="2"/>
        <v>33, 56, 37, 32, 83, 77, 42, 72, 64, 75</v>
      </c>
      <c r="E27" s="54" cm="1">
        <f t="array" aca="1" ref="E27" ca="1">AverageStipeDiameter(D27)</f>
        <v>57.1</v>
      </c>
      <c r="F27" s="29">
        <v>32</v>
      </c>
      <c r="G27" s="7"/>
      <c r="H27" s="7"/>
      <c r="J27" s="92" cm="1">
        <f t="array" ref="J27">AverageStipeDiameter(I27)</f>
        <v>0</v>
      </c>
    </row>
    <row r="28" spans="1:10" x14ac:dyDescent="0.35">
      <c r="A28" s="27">
        <v>13</v>
      </c>
      <c r="B28" s="7">
        <v>2</v>
      </c>
      <c r="C28" s="7">
        <v>12</v>
      </c>
      <c r="D28" t="str">
        <f t="shared" ca="1" si="2"/>
        <v>82, 70, 36, 44, 71, 60, 85, 84, 37, 20</v>
      </c>
      <c r="E28" s="54" cm="1">
        <f t="array" aca="1" ref="E28" ca="1">AverageStipeDiameter(D28)</f>
        <v>58.9</v>
      </c>
      <c r="F28" s="29">
        <v>33</v>
      </c>
      <c r="G28" s="7"/>
      <c r="H28" s="7"/>
      <c r="J28" s="92" cm="1">
        <f t="array" ref="J28">AverageStipeDiameter(I28)</f>
        <v>0</v>
      </c>
    </row>
    <row r="29" spans="1:10" x14ac:dyDescent="0.35">
      <c r="A29" s="27">
        <v>14</v>
      </c>
      <c r="B29" s="7">
        <v>0</v>
      </c>
      <c r="C29" s="7">
        <f ca="1">RANDBETWEEN(1,25)</f>
        <v>19</v>
      </c>
      <c r="D29" t="str">
        <f t="shared" ca="1" si="2"/>
        <v>31, 60, 54, 26, 53, 44, 74, 71, 58, 26</v>
      </c>
      <c r="E29" s="54" cm="1">
        <f t="array" aca="1" ref="E29" ca="1">AverageStipeDiameter(D29)</f>
        <v>49.7</v>
      </c>
      <c r="F29" s="29">
        <v>34</v>
      </c>
      <c r="G29" s="7"/>
      <c r="H29" s="7"/>
      <c r="J29" s="92" cm="1">
        <f t="array" ref="J29">AverageStipeDiameter(I29)</f>
        <v>0</v>
      </c>
    </row>
    <row r="30" spans="1:10" x14ac:dyDescent="0.35">
      <c r="A30" s="27">
        <v>15</v>
      </c>
      <c r="B30" s="7">
        <v>0</v>
      </c>
      <c r="C30" s="7">
        <f t="shared" ref="C30:C35" ca="1" si="3">RANDBETWEEN(1,25)</f>
        <v>10</v>
      </c>
      <c r="D30" t="str">
        <f t="shared" ca="1" si="2"/>
        <v>35, 77, 30, 76, 47, 78, 51, 78, 59, 28</v>
      </c>
      <c r="E30" s="54" cm="1">
        <f t="array" aca="1" ref="E30" ca="1">AverageStipeDiameter(D30)</f>
        <v>55.9</v>
      </c>
      <c r="F30" s="29">
        <v>35</v>
      </c>
      <c r="G30" s="7"/>
      <c r="H30" s="7"/>
      <c r="I30" s="43"/>
      <c r="J30" s="92" cm="1">
        <f t="array" ref="J30">AverageStipeDiameter(I30)</f>
        <v>0</v>
      </c>
    </row>
    <row r="31" spans="1:10" x14ac:dyDescent="0.35">
      <c r="A31" s="27">
        <v>16</v>
      </c>
      <c r="B31" s="7">
        <v>0.5</v>
      </c>
      <c r="C31" s="7">
        <f t="shared" ca="1" si="3"/>
        <v>11</v>
      </c>
      <c r="D31" t="str">
        <f t="shared" ca="1" si="2"/>
        <v>27, 57, 68, 46, 41, 30, 46, 32, 68, 28</v>
      </c>
      <c r="E31" s="54" cm="1">
        <f t="array" aca="1" ref="E31" ca="1">AverageStipeDiameter(D31)</f>
        <v>44.3</v>
      </c>
      <c r="F31" s="29">
        <v>36</v>
      </c>
      <c r="G31" s="7"/>
      <c r="H31" s="7"/>
      <c r="I31" s="43"/>
      <c r="J31" s="92" cm="1">
        <f t="array" ref="J31">AverageStipeDiameter(I31)</f>
        <v>0</v>
      </c>
    </row>
    <row r="32" spans="1:10" x14ac:dyDescent="0.35">
      <c r="A32" s="27">
        <v>17</v>
      </c>
      <c r="B32" s="7">
        <v>0.5</v>
      </c>
      <c r="C32" s="7">
        <f t="shared" ca="1" si="3"/>
        <v>19</v>
      </c>
      <c r="D32" t="str">
        <f t="shared" ca="1" si="2"/>
        <v>49, 55, 67, 32, 66, 77, 25, 61, 74, 85</v>
      </c>
      <c r="E32" s="54" cm="1">
        <f t="array" aca="1" ref="E32" ca="1">AverageStipeDiameter(D32)</f>
        <v>59.1</v>
      </c>
      <c r="F32" s="29">
        <v>37</v>
      </c>
      <c r="G32" s="7"/>
      <c r="H32" s="7"/>
      <c r="I32" s="43"/>
      <c r="J32" s="92" cm="1">
        <f t="array" ref="J32">AverageStipeDiameter(I32)</f>
        <v>0</v>
      </c>
    </row>
    <row r="33" spans="1:10" x14ac:dyDescent="0.35">
      <c r="A33" s="27">
        <v>18</v>
      </c>
      <c r="B33" s="7">
        <v>1</v>
      </c>
      <c r="C33" s="7">
        <f t="shared" ca="1" si="3"/>
        <v>19</v>
      </c>
      <c r="D33" t="str">
        <f t="shared" ca="1" si="2"/>
        <v>41, 65, 37, 83, 82, 45, 81, 77, 49, 76</v>
      </c>
      <c r="E33" s="54" cm="1">
        <f t="array" aca="1" ref="E33" ca="1">AverageStipeDiameter(D33)</f>
        <v>63.6</v>
      </c>
      <c r="F33" s="29">
        <v>38</v>
      </c>
      <c r="G33" s="7"/>
      <c r="H33" s="7"/>
      <c r="I33" s="43"/>
      <c r="J33" s="92" cm="1">
        <f t="array" ref="J33">AverageStipeDiameter(I33)</f>
        <v>0</v>
      </c>
    </row>
    <row r="34" spans="1:10" x14ac:dyDescent="0.35">
      <c r="A34" s="27">
        <v>19</v>
      </c>
      <c r="B34" s="7">
        <v>2</v>
      </c>
      <c r="C34" s="7">
        <f t="shared" ca="1" si="3"/>
        <v>23</v>
      </c>
      <c r="D34" t="str">
        <f t="shared" ca="1" si="2"/>
        <v>69, 76, 63, 60, 59, 71, 31, 43, 52, 54</v>
      </c>
      <c r="E34" s="54" cm="1">
        <f t="array" aca="1" ref="E34" ca="1">AverageStipeDiameter(D34)</f>
        <v>57.8</v>
      </c>
      <c r="F34" s="29">
        <v>39</v>
      </c>
      <c r="G34" s="7"/>
      <c r="H34" s="7"/>
      <c r="I34" s="43"/>
      <c r="J34" s="92" cm="1">
        <f t="array" ref="J34">AverageStipeDiameter(I34)</f>
        <v>0</v>
      </c>
    </row>
    <row r="35" spans="1:10" ht="15" thickBot="1" x14ac:dyDescent="0.4">
      <c r="A35" s="28">
        <v>20</v>
      </c>
      <c r="B35" s="8">
        <v>1</v>
      </c>
      <c r="C35" s="7">
        <f t="shared" ca="1" si="3"/>
        <v>1</v>
      </c>
      <c r="D35" t="str">
        <f t="shared" ca="1" si="2"/>
        <v>75, 22, 41, 45, 42, 45, 83, 72, 76, 58</v>
      </c>
      <c r="E35" s="93" cm="1">
        <f t="array" aca="1" ref="E35" ca="1">AverageStipeDiameter(D35)</f>
        <v>55.9</v>
      </c>
      <c r="F35" s="30">
        <v>40</v>
      </c>
      <c r="G35" s="8"/>
      <c r="H35" s="8"/>
      <c r="I35" s="44"/>
      <c r="J35" s="94" cm="1">
        <f t="array" ref="J35">AverageStipeDiameter(I35)</f>
        <v>0</v>
      </c>
    </row>
    <row r="36" spans="1:10" ht="17" thickBot="1" x14ac:dyDescent="0.4">
      <c r="A36" s="188" t="s">
        <v>133</v>
      </c>
      <c r="B36" s="189"/>
      <c r="C36" s="80">
        <v>1200</v>
      </c>
    </row>
    <row r="37" spans="1:10" ht="17" thickBot="1" x14ac:dyDescent="0.4">
      <c r="A37" s="186" t="s">
        <v>134</v>
      </c>
      <c r="B37" s="187"/>
      <c r="C37" s="81">
        <v>950</v>
      </c>
    </row>
    <row r="38" spans="1:10" ht="15" thickBot="1" x14ac:dyDescent="0.4">
      <c r="A38" s="182" t="s">
        <v>135</v>
      </c>
      <c r="B38" s="183"/>
      <c r="C38" s="78" cm="1">
        <f t="array" ref="C38">Bryozoans(B16:B35,G16:G35)</f>
        <v>19.791666666666668</v>
      </c>
    </row>
    <row r="39" spans="1:10" ht="15" thickBot="1" x14ac:dyDescent="0.4">
      <c r="A39" s="184" t="s">
        <v>136</v>
      </c>
      <c r="B39" s="185"/>
      <c r="C39" s="79" cm="1">
        <f t="array" aca="1" ref="C39" ca="1">AverageCSVcols(D16:D35,I16:I35)</f>
        <v>52.081481481481482</v>
      </c>
    </row>
    <row r="40" spans="1:10" ht="15" thickBot="1" x14ac:dyDescent="0.4">
      <c r="A40" s="186" t="s">
        <v>137</v>
      </c>
      <c r="B40" s="187"/>
      <c r="C40" s="77">
        <f ca="1">AVERAGE(C16:C35,H16:H35)</f>
        <v>11.481481481481481</v>
      </c>
    </row>
  </sheetData>
  <mergeCells count="23">
    <mergeCell ref="A36:B36"/>
    <mergeCell ref="A37:B37"/>
    <mergeCell ref="A38:B38"/>
    <mergeCell ref="A39:B39"/>
    <mergeCell ref="A40:B40"/>
    <mergeCell ref="A14:J14"/>
    <mergeCell ref="A5:B5"/>
    <mergeCell ref="C5:D5"/>
    <mergeCell ref="A6:B6"/>
    <mergeCell ref="C6:D6"/>
    <mergeCell ref="A7:F7"/>
    <mergeCell ref="G8:J8"/>
    <mergeCell ref="I9:J9"/>
    <mergeCell ref="I10:J10"/>
    <mergeCell ref="I11:J11"/>
    <mergeCell ref="I12:J12"/>
    <mergeCell ref="H13:J13"/>
    <mergeCell ref="A4:B4"/>
    <mergeCell ref="C4:D4"/>
    <mergeCell ref="A1:J1"/>
    <mergeCell ref="A2:B2"/>
    <mergeCell ref="C2:D2"/>
    <mergeCell ref="A3:B3"/>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801B8-E8F4-4EE4-BF5A-FEE39B368E5A}">
  <sheetPr codeName="Sheet21">
    <tabColor theme="9" tint="0.39997558519241921"/>
  </sheetPr>
  <dimension ref="B2:Q55"/>
  <sheetViews>
    <sheetView zoomScale="40" zoomScaleNormal="40" workbookViewId="0">
      <selection activeCell="N4" sqref="N4"/>
    </sheetView>
  </sheetViews>
  <sheetFormatPr defaultColWidth="9.1796875" defaultRowHeight="14.5" x14ac:dyDescent="0.35"/>
  <cols>
    <col min="1" max="2" width="9.1796875" style="31"/>
    <col min="3" max="3" width="28.81640625" style="31" customWidth="1"/>
    <col min="4" max="4" width="17" style="31" customWidth="1"/>
    <col min="5" max="5" width="25.54296875" style="31" customWidth="1"/>
    <col min="6" max="6" width="9.1796875" style="31"/>
    <col min="7" max="7" width="3.54296875" style="31" customWidth="1"/>
    <col min="8" max="8" width="22" style="31" customWidth="1"/>
    <col min="9" max="10" width="20.1796875" style="31" customWidth="1"/>
    <col min="11" max="11" width="26.453125" style="31" bestFit="1" customWidth="1"/>
    <col min="12" max="12" width="17.1796875" style="31" bestFit="1" customWidth="1"/>
    <col min="13" max="13" width="4.453125" style="31" customWidth="1"/>
    <col min="14" max="14" width="25.81640625" style="31" bestFit="1" customWidth="1"/>
    <col min="15" max="15" width="36.1796875" style="31" bestFit="1" customWidth="1"/>
    <col min="16" max="16" width="26.453125" style="31" bestFit="1" customWidth="1"/>
    <col min="17" max="17" width="20.1796875" style="31" customWidth="1"/>
    <col min="18" max="18" width="26.81640625" style="31" customWidth="1"/>
    <col min="19" max="21" width="9.1796875" style="31"/>
    <col min="22" max="22" width="9" style="31" customWidth="1"/>
    <col min="23" max="16384" width="9.1796875" style="31"/>
  </cols>
  <sheetData>
    <row r="2" spans="2:17" ht="26" x14ac:dyDescent="0.6">
      <c r="B2" s="204" t="s">
        <v>150</v>
      </c>
      <c r="C2" s="205"/>
      <c r="D2" s="205"/>
      <c r="E2" s="205"/>
      <c r="F2" s="37"/>
      <c r="H2" s="208" t="s">
        <v>151</v>
      </c>
      <c r="I2" s="212"/>
      <c r="J2" s="212"/>
      <c r="K2" s="212"/>
      <c r="L2" s="212"/>
      <c r="M2" s="212"/>
      <c r="N2" s="209"/>
      <c r="O2" s="208" t="s">
        <v>152</v>
      </c>
      <c r="P2" s="209"/>
    </row>
    <row r="3" spans="2:17" ht="23.5" x14ac:dyDescent="0.5">
      <c r="B3" s="60" t="s">
        <v>78</v>
      </c>
      <c r="C3" s="69"/>
      <c r="D3" s="70">
        <f>'2019 Bull Kelp Datasheet Site1'!C4</f>
        <v>2019</v>
      </c>
      <c r="E3" s="69"/>
      <c r="F3" s="34"/>
      <c r="H3" s="114" t="s">
        <v>153</v>
      </c>
      <c r="I3" s="206" t="s">
        <v>154</v>
      </c>
      <c r="J3" s="207"/>
      <c r="K3" s="115" t="s">
        <v>40</v>
      </c>
      <c r="L3" s="203" t="s">
        <v>155</v>
      </c>
      <c r="M3" s="203"/>
      <c r="N3" s="116" t="s">
        <v>156</v>
      </c>
      <c r="O3" s="117" t="s">
        <v>157</v>
      </c>
      <c r="P3" s="116" t="s">
        <v>40</v>
      </c>
    </row>
    <row r="4" spans="2:17" ht="21" x14ac:dyDescent="0.5">
      <c r="B4" s="71" t="s">
        <v>158</v>
      </c>
      <c r="C4" s="127"/>
      <c r="D4" s="128" t="str">
        <f>'2019 Bull Kelp Datasheet Site1'!A1</f>
        <v>Tier 2 − Bull Kelp (Nereocystis) Monitoring</v>
      </c>
      <c r="E4" s="72"/>
      <c r="F4" s="35"/>
      <c r="H4" s="114" t="str">
        <f ca="1">_xlfn.CONCAT('2019 Bull Kelp Datasheet Site1'!C2," (n = ",L4,")")</f>
        <v>Site 1 (n = 40)</v>
      </c>
      <c r="I4" s="199">
        <f ca="1">AVERAGE('2019 Bull Kelp Datasheet Site1'!C16:C35,'2019 Bull Kelp Datasheet Site1'!H16:H35)</f>
        <v>10.95</v>
      </c>
      <c r="J4" s="200"/>
      <c r="K4" s="109">
        <f ca="1">_xlfn.STDEV.P('2019 Bull Kelp Datasheet Site1'!C16:C35,'2019 Bull Kelp Datasheet Site1'!H16:H35)</f>
        <v>6.4379732835730223</v>
      </c>
      <c r="L4" s="210">
        <f ca="1">COUNTA('2019 Bull Kelp Datasheet Site1'!C16:C35)+COUNTA('2019 Bull Kelp Datasheet Site1'!H16:H35)</f>
        <v>40</v>
      </c>
      <c r="M4" s="211"/>
      <c r="N4" s="110">
        <f>'2019 Bull Kelp Datasheet Site1'!C36</f>
        <v>700</v>
      </c>
      <c r="O4" s="123">
        <f>'2019 Bull Kelp Datasheet Site1'!C38</f>
        <v>32.222222222222221</v>
      </c>
      <c r="P4" s="109" cm="1">
        <f t="array" ref="P4">BryozoansSD('2019 Bull Kelp Datasheet Site1'!B16:B35,'2019 Bull Kelp Datasheet Site1'!G16:G35)</f>
        <v>28.830068322953604</v>
      </c>
    </row>
    <row r="5" spans="2:17" ht="21" x14ac:dyDescent="0.5">
      <c r="B5" s="68"/>
      <c r="C5" s="69"/>
      <c r="D5" s="126"/>
      <c r="E5" s="69"/>
      <c r="H5" s="121" t="str">
        <f>_xlfn.CONCAT('2019 Bull Kelp Datasheet Site2'!C2," (n = ",L5,")")</f>
        <v>Site 2 (n = 26)</v>
      </c>
      <c r="I5" s="201">
        <f>AVERAGE('2019 Bull Kelp Datasheet Site2'!C16:C35,'2019 Bull Kelp Datasheet Site2'!H16:H35)</f>
        <v>9.615384615384615</v>
      </c>
      <c r="J5" s="202"/>
      <c r="K5" s="111">
        <f>_xlfn.STDEV.P('2019 Bull Kelp Datasheet Site2'!C16:C35,'2019 Bull Kelp Datasheet Site2'!H16:H35)</f>
        <v>4.0674781742776265</v>
      </c>
      <c r="L5" s="197">
        <f>COUNTA('2019 Bull Kelp Datasheet Site2'!C16:C35)+COUNTA('2019 Bull Kelp Datasheet Site2'!H16:H35)</f>
        <v>26</v>
      </c>
      <c r="M5" s="198"/>
      <c r="N5" s="112">
        <f>'2019 Bull Kelp Datasheet Site2'!C36</f>
        <v>700</v>
      </c>
      <c r="O5" s="118">
        <f>'2019 Bull Kelp Datasheet Site2'!C38</f>
        <v>34.42307692307692</v>
      </c>
      <c r="P5" s="111" cm="1">
        <f t="array" ref="P5">BryozoansSD('2019 Bull Kelp Datasheet Site2'!B16:B35,'2019 Bull Kelp Datasheet Site2'!G16:G35)</f>
        <v>28.013627284046372</v>
      </c>
    </row>
    <row r="6" spans="2:17" ht="21" x14ac:dyDescent="0.5">
      <c r="B6" s="68"/>
      <c r="C6" s="69"/>
      <c r="D6" s="70"/>
      <c r="E6" s="69"/>
      <c r="H6" s="121" t="str">
        <f ca="1">_xlfn.CONCAT('2019 Bull Kelp Datasheet Site3'!C2," (n = ",L6,")")</f>
        <v>Site 3 (n = 40)</v>
      </c>
      <c r="I6" s="201">
        <f ca="1">AVERAGE('2019 Bull Kelp Datasheet Site3'!C16:C35,'2019 Bull Kelp Datasheet Site3'!H16:H35)</f>
        <v>13.425000000000001</v>
      </c>
      <c r="J6" s="202"/>
      <c r="K6" s="111">
        <f ca="1">_xlfn.STDEV.P('2019 Bull Kelp Datasheet Site3'!C16:C35,'2019 Bull Kelp Datasheet Site3'!H16:H35)</f>
        <v>6.2844550280831832</v>
      </c>
      <c r="L6" s="197">
        <f ca="1">COUNTA('2019 Bull Kelp Datasheet Site3'!C16:C35)+COUNTA('2019 Bull Kelp Datasheet Site3'!H16:H35)</f>
        <v>40</v>
      </c>
      <c r="M6" s="198"/>
      <c r="N6" s="118">
        <f>'2019 Bull Kelp Datasheet Site3'!C36</f>
        <v>1200</v>
      </c>
      <c r="O6" s="118">
        <f>'2019 Bull Kelp Datasheet Site3'!C38</f>
        <v>16.666666666666668</v>
      </c>
      <c r="P6" s="111" cm="1">
        <f t="array" ref="P6">BryozoansSD('2019 Bull Kelp Datasheet Site3'!B16:B35,'2019 Bull Kelp Datasheet Site3'!G16:G35)</f>
        <v>13.176156917368248</v>
      </c>
    </row>
    <row r="7" spans="2:17" ht="21" x14ac:dyDescent="0.5">
      <c r="D7" s="33"/>
      <c r="H7" s="121" t="str">
        <f>_xlfn.CONCAT('2019 Bull Kelp Datasheet Site4'!C2," (n = ",L7,")")</f>
        <v>Site 4 (n = 18)</v>
      </c>
      <c r="I7" s="201">
        <f ca="1">AVERAGE('2019 Bull Kelp Datasheet Site4'!C16:C35,'2019 Bull Kelp Datasheet Site3'!H16:H35)</f>
        <v>13.815789473684211</v>
      </c>
      <c r="J7" s="202"/>
      <c r="K7" s="111">
        <f>_xlfn.STDEV.P('2019 Bull Kelp Datasheet Site4'!C16:C35,'2019 Bull Kelp Datasheet Site4'!H16:H35)</f>
        <v>9.0812518852011337</v>
      </c>
      <c r="L7" s="197">
        <f>COUNTA('2019 Bull Kelp Datasheet Site4'!C16:C35)+COUNTA('2019 Bull Kelp Datasheet Site4'!H16:H35)</f>
        <v>18</v>
      </c>
      <c r="M7" s="198"/>
      <c r="N7" s="118">
        <f>'2019 Bull Kelp Datasheet Site4'!C36</f>
        <v>1000</v>
      </c>
      <c r="O7" s="118">
        <f>'2019 Bull Kelp Datasheet Site4'!C38</f>
        <v>23.235294117647058</v>
      </c>
      <c r="P7" s="111" cm="1">
        <f t="array" ref="P7">BryozoansSD('2019 Bull Kelp Datasheet Site4'!B16:B35,'2019 Bull Kelp Datasheet Site4'!G16:G35)</f>
        <v>23.369863479086522</v>
      </c>
    </row>
    <row r="8" spans="2:17" ht="21" x14ac:dyDescent="0.5">
      <c r="D8" s="33"/>
      <c r="H8" s="121" t="str">
        <f ca="1">_xlfn.CONCAT('2019 Bull Kelp Datasheet Site5'!C2," (n = ",L8,")")</f>
        <v>Site 5 (n = 24)</v>
      </c>
      <c r="I8" s="201">
        <f ca="1">AVERAGE('2019 Bull Kelp Datasheet Site5'!C16:C35,'2019 Bull Kelp Datasheet Site3'!H16:H35)</f>
        <v>13.525</v>
      </c>
      <c r="J8" s="202"/>
      <c r="K8" s="111">
        <f ca="1">_xlfn.STDEV.P('2019 Bull Kelp Datasheet Site5'!C16:C35,'2019 Bull Kelp Datasheet Site5'!H16:H35)</f>
        <v>9.1559596559957726</v>
      </c>
      <c r="L8" s="197">
        <f ca="1">COUNTA('2019 Bull Kelp Datasheet Site5'!C16:C35)+COUNTA('2019 Bull Kelp Datasheet Site5'!H16:H35)</f>
        <v>24</v>
      </c>
      <c r="M8" s="198"/>
      <c r="N8" s="118">
        <f>'2019 Bull Kelp Datasheet Site5'!C36</f>
        <v>750</v>
      </c>
      <c r="O8" s="118">
        <f>'2019 Bull Kelp Datasheet Site5'!C38</f>
        <v>20.729166666666668</v>
      </c>
      <c r="P8" s="111" cm="1">
        <f t="array" ref="P8">BryozoansSD('2019 Bull Kelp Datasheet Site5'!B16:B35,'2019 Bull Kelp Datasheet Site5'!G16:G35)</f>
        <v>20.847651329879398</v>
      </c>
    </row>
    <row r="9" spans="2:17" ht="26" x14ac:dyDescent="0.6">
      <c r="B9" s="58"/>
      <c r="D9" s="59"/>
      <c r="H9" s="121" t="str">
        <f>_xlfn.CONCAT('2019 Bull Kelp Datasheet Site6'!C2," (n = ",L9,")")</f>
        <v>Site 6 (n = 16)</v>
      </c>
      <c r="I9" s="201">
        <f ca="1">AVERAGE('2019 Bull Kelp Datasheet Site6'!C16:C35,'2019 Bull Kelp Datasheet Site3'!H16:H35)</f>
        <v>13.055555555555555</v>
      </c>
      <c r="J9" s="202"/>
      <c r="K9" s="111">
        <f>_xlfn.STDEV.P('2019 Bull Kelp Datasheet Site6'!C16:C35,'2019 Bull Kelp Datasheet Site6'!H16:H35)</f>
        <v>4.6632707137801894</v>
      </c>
      <c r="L9" s="197">
        <f>COUNTA('2019 Bull Kelp Datasheet Site6'!C16:C35)+COUNTA('2019 Bull Kelp Datasheet Site6'!H16:H35)</f>
        <v>16</v>
      </c>
      <c r="M9" s="198"/>
      <c r="N9" s="118">
        <f>'2019 Bull Kelp Datasheet Site6'!C36</f>
        <v>800</v>
      </c>
      <c r="O9" s="118">
        <f>'2019 Bull Kelp Datasheet Site6'!C38</f>
        <v>14.5</v>
      </c>
      <c r="P9" s="111" cm="1">
        <f t="array" ref="P9">BryozoansSD('2019 Bull Kelp Datasheet Site6'!B16:B35,'2019 Bull Kelp Datasheet Site6'!G16:G35)</f>
        <v>10.214368964029708</v>
      </c>
    </row>
    <row r="10" spans="2:17" ht="21" x14ac:dyDescent="0.5">
      <c r="H10" s="121" t="str">
        <f ca="1">_xlfn.CONCAT('2019 Bull Kelp Datasheet Site7'!C2," (n = ",L10,")")</f>
        <v>Site 7 (n = 27)</v>
      </c>
      <c r="I10" s="201">
        <f ca="1">AVERAGE('2019 Bull Kelp Datasheet Site7'!C16:C35,'2019 Bull Kelp Datasheet Site3'!H16:H35)</f>
        <v>13.6</v>
      </c>
      <c r="J10" s="202"/>
      <c r="K10" s="111">
        <f ca="1">_xlfn.STDEV.P('2019 Bull Kelp Datasheet Site7'!C16:C35,'2019 Bull Kelp Datasheet Site7'!H16:H35)</f>
        <v>6.7673467597982988</v>
      </c>
      <c r="L10" s="197">
        <f ca="1">COUNTA('2019 Bull Kelp Datasheet Site7'!C16:C35)+COUNTA('2019 Bull Kelp Datasheet Site7'!H16:H35)</f>
        <v>27</v>
      </c>
      <c r="M10" s="198"/>
      <c r="N10" s="119">
        <f>'2019 Bull Kelp Datasheet Site7'!C36</f>
        <v>1400</v>
      </c>
      <c r="O10" s="119">
        <f>'2019 Bull Kelp Datasheet Site7'!C38</f>
        <v>13.333333333333334</v>
      </c>
      <c r="P10" s="124" cm="1">
        <f t="array" ref="P10">BryozoansSD('2019 Bull Kelp Datasheet Site7'!B16:B35,'2019 Bull Kelp Datasheet Site7'!G16:G35)</f>
        <v>10.274023338281626</v>
      </c>
      <c r="Q10" s="67"/>
    </row>
    <row r="11" spans="2:17" ht="21" x14ac:dyDescent="0.5">
      <c r="H11" s="121" t="str">
        <f ca="1">_xlfn.CONCAT('2019 Bull Kelp Datasheet Site8'!C2," (n = ",L11,")")</f>
        <v>Site 8 (n = 33)</v>
      </c>
      <c r="I11" s="201">
        <f ca="1">AVERAGE('2019 Bull Kelp Datasheet Site8'!C16:C35,'2019 Bull Kelp Datasheet Site3'!H16:H35)</f>
        <v>13.606060606060606</v>
      </c>
      <c r="J11" s="202"/>
      <c r="K11" s="111">
        <f>_xlfn.STDEV.P('2019 Bull Kelp Datasheet Site8'!C16:C35,'2019 Bull Kelp Datasheet Site8'!H16:H35)</f>
        <v>4.4866666373592876</v>
      </c>
      <c r="L11" s="197">
        <f ca="1">COUNTA('2019 Bull Kelp Datasheet Site8'!C16:C35)+COUNTA('2019 Bull Kelp Datasheet Site1'!H16:H35)</f>
        <v>33</v>
      </c>
      <c r="M11" s="198"/>
      <c r="N11" s="119">
        <f>'2019 Bull Kelp Datasheet Site8'!C36</f>
        <v>1200</v>
      </c>
      <c r="O11" s="119">
        <f>'2019 Bull Kelp Datasheet Site8'!C38</f>
        <v>15.576923076923077</v>
      </c>
      <c r="P11" s="124" cm="1">
        <f t="array" ref="P11">BryozoansSD('2019 Bull Kelp Datasheet Site8'!B16:B35,'2019 Bull Kelp Datasheet Site8'!G16:G35)</f>
        <v>10.384615384615385</v>
      </c>
      <c r="Q11" s="67"/>
    </row>
    <row r="12" spans="2:17" ht="21" x14ac:dyDescent="0.5">
      <c r="H12" s="121" t="str">
        <f ca="1">_xlfn.CONCAT('2019 Bull Kelp Datasheet Site9'!C2," (n = ",L12,")")</f>
        <v>Site 9 (n = 20)</v>
      </c>
      <c r="I12" s="201">
        <f ca="1">AVERAGE('2019 Bull Kelp Datasheet Site9'!C16:C35,'2019 Bull Kelp Datasheet Site3'!H16:H35)</f>
        <v>13.7</v>
      </c>
      <c r="J12" s="202"/>
      <c r="K12" s="111">
        <f ca="1">_xlfn.STDEV.P('2019 Bull Kelp Datasheet Site9'!C16:C35,'2019 Bull Kelp Datasheet Site9'!H16:H35)</f>
        <v>5.0147283076952434</v>
      </c>
      <c r="L12" s="197">
        <f ca="1">COUNTA('2019 Bull Kelp Datasheet Site9'!C16:C35)+COUNTA('2019 Bull Kelp Datasheet Site9'!H16:H35)</f>
        <v>20</v>
      </c>
      <c r="M12" s="198"/>
      <c r="N12" s="119">
        <f>'2019 Bull Kelp Datasheet Site9'!C36</f>
        <v>900</v>
      </c>
      <c r="O12" s="119">
        <f>'2019 Bull Kelp Datasheet Site9'!C38</f>
        <v>14.583333333333334</v>
      </c>
      <c r="P12" s="124" cm="1">
        <f t="array" ref="P12">BryozoansSD('2019 Bull Kelp Datasheet Site9'!B16:B35,'2019 Bull Kelp Datasheet Site9'!G16:G35)</f>
        <v>10.416666666666668</v>
      </c>
      <c r="Q12" s="67"/>
    </row>
    <row r="13" spans="2:17" ht="21" x14ac:dyDescent="0.5">
      <c r="H13" s="122" t="str">
        <f ca="1">_xlfn.CONCAT('2024 Bull Kelp Datasheet Site10'!C2," (n = ",L13,")")</f>
        <v>Site 10 (n = 27)</v>
      </c>
      <c r="I13" s="213">
        <f ca="1">AVERAGE('2024 Bull Kelp Datasheet Site10'!C16:C35,'2019 Bull Kelp Datasheet Site3'!H16:H35)</f>
        <v>13.775</v>
      </c>
      <c r="J13" s="214"/>
      <c r="K13" s="113">
        <f ca="1">_xlfn.STDEV.P('2024 Bull Kelp Datasheet Site10'!C16:C35,'2024 Bull Kelp Datasheet Site10'!H16:H35)</f>
        <v>6.8007100411995127</v>
      </c>
      <c r="L13" s="215">
        <f ca="1">COUNTA('2024 Bull Kelp Datasheet Site10'!C16:C35)+COUNTA('2024 Bull Kelp Datasheet Site10'!H16:H35)</f>
        <v>27</v>
      </c>
      <c r="M13" s="216"/>
      <c r="N13" s="120">
        <f>'2024 Bull Kelp Datasheet Site10'!C36</f>
        <v>1200</v>
      </c>
      <c r="O13" s="120">
        <f>'2024 Bull Kelp Datasheet Site10'!C38</f>
        <v>19.791666666666668</v>
      </c>
      <c r="P13" s="125" cm="1">
        <f t="array" ref="P13">BryozoansSD('2024 Bull Kelp Datasheet Site10'!B16:B35,'2024 Bull Kelp Datasheet Site10'!G16:G35)</f>
        <v>16.439863053633452</v>
      </c>
      <c r="Q13" s="67"/>
    </row>
    <row r="14" spans="2:17" x14ac:dyDescent="0.35">
      <c r="N14" s="67"/>
      <c r="O14" s="67"/>
      <c r="P14" s="67"/>
      <c r="Q14" s="67"/>
    </row>
    <row r="15" spans="2:17" x14ac:dyDescent="0.35">
      <c r="N15" s="67"/>
      <c r="O15" s="67"/>
      <c r="P15" s="67"/>
      <c r="Q15" s="67"/>
    </row>
    <row r="16" spans="2:17" x14ac:dyDescent="0.35">
      <c r="N16" s="67"/>
      <c r="O16" s="67"/>
      <c r="P16" s="67"/>
      <c r="Q16" s="67"/>
    </row>
    <row r="17" spans="14:17" x14ac:dyDescent="0.35">
      <c r="N17" s="67"/>
      <c r="O17" s="67"/>
      <c r="P17" s="67"/>
      <c r="Q17" s="67"/>
    </row>
    <row r="18" spans="14:17" x14ac:dyDescent="0.35">
      <c r="N18" s="67"/>
      <c r="O18" s="67"/>
      <c r="P18" s="67"/>
      <c r="Q18" s="67"/>
    </row>
    <row r="19" spans="14:17" x14ac:dyDescent="0.35">
      <c r="N19" s="67"/>
      <c r="O19" s="67"/>
      <c r="P19" s="67"/>
      <c r="Q19" s="67"/>
    </row>
    <row r="20" spans="14:17" x14ac:dyDescent="0.35">
      <c r="N20" s="67"/>
      <c r="O20" s="67"/>
      <c r="P20" s="67"/>
      <c r="Q20" s="67"/>
    </row>
    <row r="21" spans="14:17" x14ac:dyDescent="0.35">
      <c r="N21" s="67" t="s">
        <v>159</v>
      </c>
      <c r="O21" s="67"/>
      <c r="P21" s="67"/>
      <c r="Q21" s="67" t="s">
        <v>160</v>
      </c>
    </row>
    <row r="22" spans="14:17" x14ac:dyDescent="0.35">
      <c r="N22" s="107">
        <f ca="1">I4</f>
        <v>10.95</v>
      </c>
      <c r="O22" s="107"/>
      <c r="P22" s="107"/>
      <c r="Q22" s="67">
        <f>N4</f>
        <v>700</v>
      </c>
    </row>
    <row r="23" spans="14:17" x14ac:dyDescent="0.35">
      <c r="N23" s="107">
        <f>I5</f>
        <v>9.615384615384615</v>
      </c>
      <c r="O23" s="107"/>
      <c r="P23" s="107"/>
      <c r="Q23" s="67">
        <f>N5</f>
        <v>700</v>
      </c>
    </row>
    <row r="24" spans="14:17" x14ac:dyDescent="0.35">
      <c r="N24" s="107">
        <f ca="1">I6</f>
        <v>13.425000000000001</v>
      </c>
      <c r="O24" s="107"/>
      <c r="P24" s="107"/>
      <c r="Q24" s="67">
        <f>N6</f>
        <v>1200</v>
      </c>
    </row>
    <row r="25" spans="14:17" x14ac:dyDescent="0.35">
      <c r="N25" s="107">
        <f t="shared" ref="N25:N29" ca="1" si="0">I7</f>
        <v>13.815789473684211</v>
      </c>
      <c r="O25" s="67"/>
      <c r="P25" s="67"/>
      <c r="Q25" s="67">
        <f t="shared" ref="Q25:Q29" si="1">N7</f>
        <v>1000</v>
      </c>
    </row>
    <row r="26" spans="14:17" x14ac:dyDescent="0.35">
      <c r="N26" s="107">
        <f t="shared" ca="1" si="0"/>
        <v>13.525</v>
      </c>
      <c r="O26" s="67"/>
      <c r="P26" s="67"/>
      <c r="Q26" s="67">
        <f t="shared" si="1"/>
        <v>750</v>
      </c>
    </row>
    <row r="27" spans="14:17" x14ac:dyDescent="0.35">
      <c r="N27" s="107">
        <f t="shared" ca="1" si="0"/>
        <v>13.055555555555555</v>
      </c>
      <c r="O27" s="67"/>
      <c r="P27" s="67"/>
      <c r="Q27" s="67">
        <f t="shared" si="1"/>
        <v>800</v>
      </c>
    </row>
    <row r="28" spans="14:17" x14ac:dyDescent="0.35">
      <c r="N28" s="107">
        <f t="shared" ca="1" si="0"/>
        <v>13.6</v>
      </c>
      <c r="O28" s="67"/>
      <c r="P28" s="67"/>
      <c r="Q28" s="67">
        <f t="shared" si="1"/>
        <v>1400</v>
      </c>
    </row>
    <row r="29" spans="14:17" x14ac:dyDescent="0.35">
      <c r="N29" s="107">
        <f t="shared" ca="1" si="0"/>
        <v>13.606060606060606</v>
      </c>
      <c r="O29" s="67"/>
      <c r="P29" s="67"/>
      <c r="Q29" s="67">
        <f t="shared" si="1"/>
        <v>1200</v>
      </c>
    </row>
    <row r="30" spans="14:17" x14ac:dyDescent="0.35">
      <c r="N30" s="107">
        <f ca="1">I12</f>
        <v>13.7</v>
      </c>
      <c r="O30" s="67"/>
      <c r="P30" s="67"/>
      <c r="Q30" s="67">
        <f>N12</f>
        <v>900</v>
      </c>
    </row>
    <row r="31" spans="14:17" x14ac:dyDescent="0.35">
      <c r="N31" s="107">
        <f ca="1">I13</f>
        <v>13.775</v>
      </c>
      <c r="O31" s="67"/>
      <c r="P31" s="67"/>
      <c r="Q31" s="67">
        <f>N13</f>
        <v>1200</v>
      </c>
    </row>
    <row r="32" spans="14:17" x14ac:dyDescent="0.35">
      <c r="N32" s="67"/>
      <c r="O32" s="67"/>
      <c r="P32" s="67"/>
      <c r="Q32" s="67"/>
    </row>
    <row r="33" spans="14:17" x14ac:dyDescent="0.35">
      <c r="N33" s="67"/>
      <c r="O33" s="67"/>
      <c r="P33" s="67"/>
      <c r="Q33" s="67"/>
    </row>
    <row r="34" spans="14:17" x14ac:dyDescent="0.35">
      <c r="N34" s="67"/>
      <c r="O34" s="67"/>
      <c r="P34" s="67"/>
      <c r="Q34" s="67"/>
    </row>
    <row r="35" spans="14:17" x14ac:dyDescent="0.35">
      <c r="N35" s="67"/>
      <c r="O35" s="67"/>
      <c r="P35" s="67"/>
      <c r="Q35" s="67"/>
    </row>
    <row r="36" spans="14:17" x14ac:dyDescent="0.35">
      <c r="N36" s="67"/>
      <c r="O36" s="67"/>
      <c r="P36" s="67"/>
      <c r="Q36" s="67"/>
    </row>
    <row r="37" spans="14:17" x14ac:dyDescent="0.35">
      <c r="N37" s="67"/>
      <c r="O37" s="67"/>
      <c r="P37" s="67"/>
      <c r="Q37" s="67"/>
    </row>
    <row r="38" spans="14:17" x14ac:dyDescent="0.35">
      <c r="N38" s="67"/>
      <c r="O38" s="67"/>
      <c r="P38" s="67"/>
      <c r="Q38" s="67"/>
    </row>
    <row r="39" spans="14:17" x14ac:dyDescent="0.35">
      <c r="N39" s="67"/>
      <c r="O39" s="67"/>
      <c r="P39" s="67"/>
      <c r="Q39" s="67"/>
    </row>
    <row r="40" spans="14:17" x14ac:dyDescent="0.35">
      <c r="N40" s="67"/>
      <c r="O40" s="67"/>
      <c r="P40" s="67"/>
      <c r="Q40" s="67"/>
    </row>
    <row r="55" spans="7:7" x14ac:dyDescent="0.35">
      <c r="G55" s="32"/>
    </row>
  </sheetData>
  <mergeCells count="25">
    <mergeCell ref="I12:J12"/>
    <mergeCell ref="I13:J13"/>
    <mergeCell ref="L7:M7"/>
    <mergeCell ref="L8:M8"/>
    <mergeCell ref="L9:M9"/>
    <mergeCell ref="L10:M10"/>
    <mergeCell ref="L11:M11"/>
    <mergeCell ref="L12:M12"/>
    <mergeCell ref="L13:M13"/>
    <mergeCell ref="I7:J7"/>
    <mergeCell ref="I8:J8"/>
    <mergeCell ref="I9:J9"/>
    <mergeCell ref="I10:J10"/>
    <mergeCell ref="I11:J11"/>
    <mergeCell ref="B2:E2"/>
    <mergeCell ref="I3:J3"/>
    <mergeCell ref="O2:P2"/>
    <mergeCell ref="L4:M4"/>
    <mergeCell ref="L5:M5"/>
    <mergeCell ref="H2:N2"/>
    <mergeCell ref="L6:M6"/>
    <mergeCell ref="I4:J4"/>
    <mergeCell ref="I5:J5"/>
    <mergeCell ref="I6:J6"/>
    <mergeCell ref="L3:M3"/>
  </mergeCells>
  <conditionalFormatting sqref="D9">
    <cfRule type="colorScale" priority="1">
      <colorScale>
        <cfvo type="num" val="0"/>
        <cfvo type="num" val="10"/>
        <cfvo type="num" val="40"/>
        <color rgb="FFFF0000"/>
        <color rgb="FFD4782C"/>
        <color rgb="FF00B050"/>
      </colorScale>
    </cfRule>
  </conditionalFormatting>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52E90D-A7F1-4F6A-A3DA-74BC2A28CF1D}">
  <sheetPr codeName="Sheet16">
    <tabColor theme="8" tint="0.39997558519241921"/>
  </sheetPr>
  <dimension ref="A1:J40"/>
  <sheetViews>
    <sheetView zoomScale="80" zoomScaleNormal="80" workbookViewId="0">
      <selection activeCell="C3" sqref="C3:D3"/>
    </sheetView>
  </sheetViews>
  <sheetFormatPr defaultRowHeight="14.5" x14ac:dyDescent="0.35"/>
  <cols>
    <col min="1" max="1" width="11.453125" customWidth="1"/>
    <col min="2" max="2" width="12.1796875" bestFit="1" customWidth="1"/>
    <col min="3" max="3" width="10.1796875" customWidth="1"/>
    <col min="4" max="4" width="27" customWidth="1"/>
    <col min="5" max="5" width="21.1796875" customWidth="1"/>
    <col min="6" max="6" width="9.1796875" customWidth="1"/>
    <col min="7" max="7" width="20.81640625" customWidth="1"/>
    <col min="8" max="8" width="12.1796875" bestFit="1" customWidth="1"/>
    <col min="9" max="9" width="17.81640625" bestFit="1" customWidth="1"/>
    <col min="10" max="10" width="10.81640625" customWidth="1"/>
  </cols>
  <sheetData>
    <row r="1" spans="1:10" ht="15" thickBot="1" x14ac:dyDescent="0.4">
      <c r="A1" s="191" t="s">
        <v>66</v>
      </c>
      <c r="B1" s="192"/>
      <c r="C1" s="157"/>
      <c r="D1" s="157"/>
      <c r="E1" s="192"/>
      <c r="F1" s="192"/>
      <c r="G1" s="192"/>
      <c r="H1" s="192"/>
      <c r="I1" s="192"/>
      <c r="J1" s="193"/>
    </row>
    <row r="2" spans="1:10" x14ac:dyDescent="0.35">
      <c r="A2" s="194" t="s">
        <v>67</v>
      </c>
      <c r="B2" s="195"/>
      <c r="C2" s="170" t="s">
        <v>68</v>
      </c>
      <c r="D2" s="196"/>
      <c r="E2" s="39" t="s">
        <v>69</v>
      </c>
      <c r="F2" s="9"/>
      <c r="G2" s="18" t="s">
        <v>70</v>
      </c>
      <c r="H2" s="17"/>
      <c r="I2" s="19" t="s">
        <v>71</v>
      </c>
      <c r="J2" s="16"/>
    </row>
    <row r="3" spans="1:10" x14ac:dyDescent="0.35">
      <c r="A3" s="166" t="s">
        <v>72</v>
      </c>
      <c r="B3" s="172"/>
      <c r="C3" s="151" t="s">
        <v>174</v>
      </c>
      <c r="D3" s="152"/>
      <c r="E3" s="40" t="s">
        <v>73</v>
      </c>
      <c r="F3" s="12"/>
      <c r="G3" s="20" t="s">
        <v>74</v>
      </c>
      <c r="H3" s="20" t="s">
        <v>75</v>
      </c>
      <c r="I3" s="20" t="s">
        <v>76</v>
      </c>
      <c r="J3" s="22" t="s">
        <v>77</v>
      </c>
    </row>
    <row r="4" spans="1:10" x14ac:dyDescent="0.35">
      <c r="A4" s="166" t="s">
        <v>141</v>
      </c>
      <c r="B4" s="172"/>
      <c r="C4" s="151">
        <v>2020</v>
      </c>
      <c r="D4" s="152"/>
      <c r="E4" s="40"/>
      <c r="F4" s="12"/>
      <c r="G4" s="20"/>
      <c r="H4" s="20"/>
      <c r="I4" s="20"/>
      <c r="J4" s="22"/>
    </row>
    <row r="5" spans="1:10" x14ac:dyDescent="0.35">
      <c r="A5" s="166" t="s">
        <v>79</v>
      </c>
      <c r="B5" s="172"/>
      <c r="C5" s="153">
        <v>44026</v>
      </c>
      <c r="D5" s="152"/>
      <c r="E5" s="141" t="s">
        <v>80</v>
      </c>
      <c r="F5" s="10"/>
      <c r="G5" s="20" t="s">
        <v>81</v>
      </c>
      <c r="H5" s="3"/>
      <c r="I5" s="3"/>
      <c r="J5" s="4"/>
    </row>
    <row r="6" spans="1:10" ht="15" thickBot="1" x14ac:dyDescent="0.4">
      <c r="A6" s="168" t="s">
        <v>82</v>
      </c>
      <c r="B6" s="190"/>
      <c r="C6" s="154" t="s">
        <v>161</v>
      </c>
      <c r="D6" s="155"/>
      <c r="E6" s="144"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0.5</v>
      </c>
      <c r="C16" s="7">
        <v>5</v>
      </c>
      <c r="D16" t="str">
        <f ca="1">_xlfn.TEXTJOIN(", ", TRUE, RANDBETWEEN(20, 85), RANDBETWEEN(20, 85), RANDBETWEEN(20, 85), RANDBETWEEN(20, 85), RANDBETWEEN(20, 85), RANDBETWEEN(20, 85), RANDBETWEEN(20, 85), RANDBETWEEN(20, 85), RANDBETWEEN(20, 85), RANDBETWEEN(20, 85))</f>
        <v>38, 44, 56, 76, 78, 37, 69, 35, 25, 33</v>
      </c>
      <c r="E16" s="54" cm="1">
        <f t="array" aca="1" ref="E16" ca="1">AverageStipeDiameter(D16)</f>
        <v>49.1</v>
      </c>
      <c r="F16" s="29">
        <v>21</v>
      </c>
      <c r="G16" s="7"/>
      <c r="H16" s="7"/>
      <c r="J16" s="92" cm="1">
        <f t="array" ref="J16">AverageStipeDiameter(I16)</f>
        <v>0</v>
      </c>
    </row>
    <row r="17" spans="1:10" x14ac:dyDescent="0.35">
      <c r="A17" s="27">
        <v>2</v>
      </c>
      <c r="B17" s="7">
        <v>0.5</v>
      </c>
      <c r="C17" s="7">
        <v>15</v>
      </c>
      <c r="D17" t="str">
        <f t="shared" ref="D17:D25" ca="1" si="0">_xlfn.TEXTJOIN(", ", TRUE, RANDBETWEEN(20, 85), RANDBETWEEN(20, 85), RANDBETWEEN(20, 85), RANDBETWEEN(20, 85), RANDBETWEEN(20, 85), RANDBETWEEN(20, 85), RANDBETWEEN(20, 85), RANDBETWEEN(20, 85), RANDBETWEEN(20, 85), RANDBETWEEN(20, 85))</f>
        <v>44, 31, 46, 40, 44, 31, 20, 57, 36, 33</v>
      </c>
      <c r="E17" s="54" cm="1">
        <f t="array" aca="1" ref="E17" ca="1">AverageStipeDiameter(D17)</f>
        <v>38.200000000000003</v>
      </c>
      <c r="F17" s="29">
        <v>22</v>
      </c>
      <c r="G17" s="7"/>
      <c r="H17" s="7"/>
      <c r="I17" s="43"/>
      <c r="J17" s="92" cm="1">
        <f t="array" ref="J17">AverageStipeDiameter(I17)</f>
        <v>0</v>
      </c>
    </row>
    <row r="18" spans="1:10" x14ac:dyDescent="0.35">
      <c r="A18" s="27">
        <v>3</v>
      </c>
      <c r="B18" s="7">
        <v>1</v>
      </c>
      <c r="C18" s="7">
        <v>10</v>
      </c>
      <c r="D18" t="str">
        <f t="shared" ca="1" si="0"/>
        <v>33, 51, 77, 81, 20, 40, 44, 53, 67, 70</v>
      </c>
      <c r="E18" s="54" cm="1">
        <f t="array" aca="1" ref="E18" ca="1">AverageStipeDiameter(D18)</f>
        <v>53.6</v>
      </c>
      <c r="F18" s="29">
        <v>23</v>
      </c>
      <c r="G18" s="7"/>
      <c r="H18" s="7"/>
      <c r="I18" s="43"/>
      <c r="J18" s="92" cm="1">
        <f t="array" ref="J18">AverageStipeDiameter(I18)</f>
        <v>0</v>
      </c>
    </row>
    <row r="19" spans="1:10" x14ac:dyDescent="0.35">
      <c r="A19" s="27">
        <v>4</v>
      </c>
      <c r="B19" s="7">
        <v>3</v>
      </c>
      <c r="C19" s="7">
        <v>3</v>
      </c>
      <c r="D19" t="str">
        <f t="shared" ca="1" si="0"/>
        <v>42, 82, 27, 62, 44, 75, 31, 26, 32, 77</v>
      </c>
      <c r="E19" s="54" cm="1">
        <f t="array" aca="1" ref="E19" ca="1">AverageStipeDiameter(D19)</f>
        <v>49.8</v>
      </c>
      <c r="F19" s="29">
        <v>24</v>
      </c>
      <c r="G19" s="7"/>
      <c r="H19" s="7"/>
      <c r="I19" s="43"/>
      <c r="J19" s="92" cm="1">
        <f t="array" ref="J19">AverageStipeDiameter(I19)</f>
        <v>0</v>
      </c>
    </row>
    <row r="20" spans="1:10" x14ac:dyDescent="0.35">
      <c r="A20" s="27">
        <v>5</v>
      </c>
      <c r="B20" s="7">
        <v>2</v>
      </c>
      <c r="C20" s="7">
        <v>8</v>
      </c>
      <c r="D20" t="str">
        <f t="shared" ca="1" si="0"/>
        <v>44, 51, 30, 42, 21, 48, 34, 41, 28, 72</v>
      </c>
      <c r="E20" s="54" cm="1">
        <f t="array" aca="1" ref="E20" ca="1">AverageStipeDiameter(D20)</f>
        <v>41.1</v>
      </c>
      <c r="F20" s="29">
        <v>25</v>
      </c>
      <c r="G20" s="7"/>
      <c r="H20" s="7"/>
      <c r="I20" s="43"/>
      <c r="J20" s="92" cm="1">
        <f t="array" ref="J20">AverageStipeDiameter(I20)</f>
        <v>0</v>
      </c>
    </row>
    <row r="21" spans="1:10" x14ac:dyDescent="0.35">
      <c r="A21" s="27">
        <v>6</v>
      </c>
      <c r="B21" s="7">
        <v>1</v>
      </c>
      <c r="C21" s="7">
        <v>4</v>
      </c>
      <c r="D21" t="str">
        <f t="shared" ca="1" si="0"/>
        <v>67, 33, 69, 53, 48, 35, 42, 68, 78, 26</v>
      </c>
      <c r="E21" s="54" cm="1">
        <f t="array" aca="1" ref="E21" ca="1">AverageStipeDiameter(D21)</f>
        <v>51.9</v>
      </c>
      <c r="F21" s="29">
        <v>26</v>
      </c>
      <c r="G21" s="7"/>
      <c r="H21" s="7"/>
      <c r="I21" s="43"/>
      <c r="J21" s="92" cm="1">
        <f t="array" ref="J21">AverageStipeDiameter(I21)</f>
        <v>0</v>
      </c>
    </row>
    <row r="22" spans="1:10" x14ac:dyDescent="0.35">
      <c r="A22" s="27">
        <v>7</v>
      </c>
      <c r="B22" s="7">
        <v>0.5</v>
      </c>
      <c r="C22" s="7">
        <v>10</v>
      </c>
      <c r="D22" t="str">
        <f t="shared" ca="1" si="0"/>
        <v>36, 20, 69, 22, 70, 63, 62, 55, 28, 36</v>
      </c>
      <c r="E22" s="54" cm="1">
        <f t="array" aca="1" ref="E22" ca="1">AverageStipeDiameter(D22)</f>
        <v>46.1</v>
      </c>
      <c r="F22" s="29">
        <v>27</v>
      </c>
      <c r="G22" s="7"/>
      <c r="H22" s="7"/>
      <c r="I22" s="43"/>
      <c r="J22" s="92" cm="1">
        <f t="array" ref="J22">AverageStipeDiameter(I22)</f>
        <v>0</v>
      </c>
    </row>
    <row r="23" spans="1:10" x14ac:dyDescent="0.35">
      <c r="A23" s="27">
        <v>8</v>
      </c>
      <c r="B23" s="7">
        <v>2</v>
      </c>
      <c r="C23" s="7">
        <v>13</v>
      </c>
      <c r="D23" t="str">
        <f t="shared" ca="1" si="0"/>
        <v>53, 46, 33, 72, 76, 68, 34, 57, 53, 20</v>
      </c>
      <c r="E23" s="54" cm="1">
        <f t="array" aca="1" ref="E23" ca="1">AverageStipeDiameter(D23)</f>
        <v>51.2</v>
      </c>
      <c r="F23" s="29">
        <v>28</v>
      </c>
      <c r="G23" s="7"/>
      <c r="H23" s="7"/>
      <c r="I23" s="43"/>
      <c r="J23" s="92" cm="1">
        <f t="array" ref="J23">AverageStipeDiameter(I23)</f>
        <v>0</v>
      </c>
    </row>
    <row r="24" spans="1:10" x14ac:dyDescent="0.35">
      <c r="A24" s="27">
        <v>9</v>
      </c>
      <c r="B24" s="7">
        <v>2</v>
      </c>
      <c r="C24" s="7">
        <v>19</v>
      </c>
      <c r="D24" t="str">
        <f t="shared" ca="1" si="0"/>
        <v>72, 70, 71, 68, 79, 68, 54, 58, 66, 31</v>
      </c>
      <c r="E24" s="54" cm="1">
        <f t="array" aca="1" ref="E24" ca="1">AverageStipeDiameter(D24)</f>
        <v>63.7</v>
      </c>
      <c r="F24" s="29">
        <v>29</v>
      </c>
      <c r="G24" s="7"/>
      <c r="H24" s="7"/>
      <c r="I24" s="43"/>
      <c r="J24" s="92" cm="1">
        <f t="array" ref="J24">AverageStipeDiameter(I24)</f>
        <v>0</v>
      </c>
    </row>
    <row r="25" spans="1:10" x14ac:dyDescent="0.35">
      <c r="A25" s="27">
        <v>10</v>
      </c>
      <c r="B25" s="7">
        <v>1</v>
      </c>
      <c r="C25" s="7">
        <v>8</v>
      </c>
      <c r="D25" t="str">
        <f t="shared" ca="1" si="0"/>
        <v>42, 40, 63, 46, 83, 71, 69, 65, 30, 83</v>
      </c>
      <c r="E25" s="54" cm="1">
        <f t="array" aca="1" ref="E25" ca="1">AverageStipeDiameter(D25)</f>
        <v>59.2</v>
      </c>
      <c r="F25" s="29">
        <v>30</v>
      </c>
      <c r="G25" s="7"/>
      <c r="H25" s="7"/>
      <c r="I25" s="43"/>
      <c r="J25" s="92" cm="1">
        <f t="array" ref="J25">AverageStipeDiameter(I25)</f>
        <v>0</v>
      </c>
    </row>
    <row r="26" spans="1:10" x14ac:dyDescent="0.35">
      <c r="A26" s="27">
        <v>11</v>
      </c>
      <c r="B26" s="7"/>
      <c r="C26" s="7"/>
      <c r="D26" s="142"/>
      <c r="E26" s="54" cm="1">
        <f t="array" ref="E26">AverageStipeDiameter(D26)</f>
        <v>0</v>
      </c>
      <c r="F26" s="29">
        <v>31</v>
      </c>
      <c r="G26" s="7"/>
      <c r="H26" s="7"/>
      <c r="I26" s="43"/>
      <c r="J26" s="92" cm="1">
        <f t="array" ref="J26">AverageStipeDiameter(I26)</f>
        <v>0</v>
      </c>
    </row>
    <row r="27" spans="1:10" x14ac:dyDescent="0.35">
      <c r="A27" s="27">
        <v>12</v>
      </c>
      <c r="B27" s="7"/>
      <c r="C27" s="7"/>
      <c r="D27" s="142"/>
      <c r="E27" s="54" cm="1">
        <f t="array" ref="E27">AverageStipeDiameter(D27)</f>
        <v>0</v>
      </c>
      <c r="F27" s="29">
        <v>32</v>
      </c>
      <c r="G27" s="7"/>
      <c r="H27" s="7"/>
      <c r="I27" s="43"/>
      <c r="J27" s="92" cm="1">
        <f t="array" ref="J27">AverageStipeDiameter(I27)</f>
        <v>0</v>
      </c>
    </row>
    <row r="28" spans="1:10" x14ac:dyDescent="0.35">
      <c r="A28" s="27">
        <v>13</v>
      </c>
      <c r="B28" s="7"/>
      <c r="C28" s="7"/>
      <c r="D28" s="142"/>
      <c r="E28" s="54" cm="1">
        <f t="array" ref="E28">AverageStipeDiameter(D28)</f>
        <v>0</v>
      </c>
      <c r="F28" s="29">
        <v>33</v>
      </c>
      <c r="G28" s="7"/>
      <c r="H28" s="7"/>
      <c r="I28" s="43"/>
      <c r="J28" s="92" cm="1">
        <f t="array" ref="J28">AverageStipeDiameter(I28)</f>
        <v>0</v>
      </c>
    </row>
    <row r="29" spans="1:10" x14ac:dyDescent="0.35">
      <c r="A29" s="27">
        <v>14</v>
      </c>
      <c r="B29" s="7"/>
      <c r="C29" s="7"/>
      <c r="D29" s="142"/>
      <c r="E29" s="54" cm="1">
        <f t="array" ref="E29">AverageStipeDiameter(D29)</f>
        <v>0</v>
      </c>
      <c r="F29" s="29">
        <v>34</v>
      </c>
      <c r="G29" s="7"/>
      <c r="H29" s="7"/>
      <c r="I29" s="43"/>
      <c r="J29" s="92" cm="1">
        <f t="array" ref="J29">AverageStipeDiameter(I29)</f>
        <v>0</v>
      </c>
    </row>
    <row r="30" spans="1:10" x14ac:dyDescent="0.35">
      <c r="A30" s="27">
        <v>15</v>
      </c>
      <c r="B30" s="7"/>
      <c r="C30" s="7"/>
      <c r="D30" s="142"/>
      <c r="E30" s="54" cm="1">
        <f t="array" ref="E30">AverageStipeDiameter(D30)</f>
        <v>0</v>
      </c>
      <c r="F30" s="29">
        <v>35</v>
      </c>
      <c r="G30" s="7"/>
      <c r="H30" s="7"/>
      <c r="I30" s="43"/>
      <c r="J30" s="92" cm="1">
        <f t="array" ref="J30">AverageStipeDiameter(I30)</f>
        <v>0</v>
      </c>
    </row>
    <row r="31" spans="1:10" x14ac:dyDescent="0.35">
      <c r="A31" s="27">
        <v>16</v>
      </c>
      <c r="B31" s="7"/>
      <c r="C31" s="7"/>
      <c r="D31" s="142"/>
      <c r="E31" s="54" cm="1">
        <f t="array" ref="E31">AverageStipeDiameter(D31)</f>
        <v>0</v>
      </c>
      <c r="F31" s="29">
        <v>36</v>
      </c>
      <c r="G31" s="7"/>
      <c r="H31" s="7"/>
      <c r="I31" s="43"/>
      <c r="J31" s="92" cm="1">
        <f t="array" ref="J31">AverageStipeDiameter(I31)</f>
        <v>0</v>
      </c>
    </row>
    <row r="32" spans="1:10" x14ac:dyDescent="0.35">
      <c r="A32" s="27">
        <v>17</v>
      </c>
      <c r="B32" s="7"/>
      <c r="C32" s="7"/>
      <c r="D32" s="142"/>
      <c r="E32" s="54" cm="1">
        <f t="array" ref="E32">AverageStipeDiameter(D32)</f>
        <v>0</v>
      </c>
      <c r="F32" s="29">
        <v>37</v>
      </c>
      <c r="G32" s="7"/>
      <c r="H32" s="7"/>
      <c r="I32" s="43"/>
      <c r="J32" s="92" cm="1">
        <f t="array" ref="J32">AverageStipeDiameter(I32)</f>
        <v>0</v>
      </c>
    </row>
    <row r="33" spans="1:10" x14ac:dyDescent="0.35">
      <c r="A33" s="27">
        <v>18</v>
      </c>
      <c r="B33" s="7"/>
      <c r="C33" s="7"/>
      <c r="D33" s="142"/>
      <c r="E33" s="54" cm="1">
        <f t="array" ref="E33">AverageStipeDiameter(D33)</f>
        <v>0</v>
      </c>
      <c r="F33" s="29">
        <v>38</v>
      </c>
      <c r="G33" s="7"/>
      <c r="H33" s="7"/>
      <c r="I33" s="43"/>
      <c r="J33" s="92" cm="1">
        <f t="array" ref="J33">AverageStipeDiameter(I33)</f>
        <v>0</v>
      </c>
    </row>
    <row r="34" spans="1:10" x14ac:dyDescent="0.35">
      <c r="A34" s="27">
        <v>19</v>
      </c>
      <c r="B34" s="7"/>
      <c r="C34" s="7"/>
      <c r="D34" s="142"/>
      <c r="E34" s="54" cm="1">
        <f t="array" ref="E34">AverageStipeDiameter(D34)</f>
        <v>0</v>
      </c>
      <c r="F34" s="29">
        <v>39</v>
      </c>
      <c r="G34" s="7"/>
      <c r="H34" s="7"/>
      <c r="I34" s="43"/>
      <c r="J34" s="92" cm="1">
        <f t="array" ref="J34">AverageStipeDiameter(I34)</f>
        <v>0</v>
      </c>
    </row>
    <row r="35" spans="1:10" ht="15" thickBot="1" x14ac:dyDescent="0.4">
      <c r="A35" s="28">
        <v>20</v>
      </c>
      <c r="B35" s="8"/>
      <c r="C35" s="8"/>
      <c r="D35" s="51"/>
      <c r="E35" s="93" cm="1">
        <f t="array" ref="E35">AverageStipeDiameter(D35)</f>
        <v>0</v>
      </c>
      <c r="F35" s="30">
        <v>40</v>
      </c>
      <c r="G35" s="8"/>
      <c r="H35" s="8"/>
      <c r="I35" s="44"/>
      <c r="J35" s="94" cm="1">
        <f t="array" ref="J35">AverageStipeDiameter(I35)</f>
        <v>0</v>
      </c>
    </row>
    <row r="36" spans="1:10" ht="17" thickBot="1" x14ac:dyDescent="0.4">
      <c r="A36" s="188" t="s">
        <v>133</v>
      </c>
      <c r="B36" s="189"/>
      <c r="C36" s="80">
        <v>600</v>
      </c>
    </row>
    <row r="37" spans="1:10" ht="17" thickBot="1" x14ac:dyDescent="0.4">
      <c r="A37" s="186" t="s">
        <v>134</v>
      </c>
      <c r="B37" s="187"/>
      <c r="C37" s="81">
        <v>1100</v>
      </c>
    </row>
    <row r="38" spans="1:10" ht="15" thickBot="1" x14ac:dyDescent="0.4">
      <c r="A38" s="182" t="s">
        <v>135</v>
      </c>
      <c r="B38" s="183"/>
      <c r="C38" s="78" cm="1">
        <f t="array" ref="C38">Bryozoans(B16:B35,G16:G35)</f>
        <v>18.5</v>
      </c>
    </row>
    <row r="39" spans="1:10" ht="15" thickBot="1" x14ac:dyDescent="0.4">
      <c r="A39" s="184" t="s">
        <v>136</v>
      </c>
      <c r="B39" s="185"/>
      <c r="C39" s="79" cm="1">
        <f t="array" aca="1" ref="C39" ca="1">AverageCSVcols(D16:D35,I16:I35)</f>
        <v>50.39</v>
      </c>
    </row>
    <row r="40" spans="1:10" ht="15" thickBot="1" x14ac:dyDescent="0.4">
      <c r="A40" s="186" t="s">
        <v>137</v>
      </c>
      <c r="B40" s="187"/>
      <c r="C40" s="77">
        <f>AVERAGE(C16:C35,H16:H35)</f>
        <v>9.5</v>
      </c>
    </row>
  </sheetData>
  <mergeCells count="24">
    <mergeCell ref="A38:B38"/>
    <mergeCell ref="A39:B39"/>
    <mergeCell ref="A40:B40"/>
    <mergeCell ref="A5:B5"/>
    <mergeCell ref="C5:D5"/>
    <mergeCell ref="A36:B36"/>
    <mergeCell ref="A37:B37"/>
    <mergeCell ref="A4:B4"/>
    <mergeCell ref="C4:D4"/>
    <mergeCell ref="A1:J1"/>
    <mergeCell ref="A2:B2"/>
    <mergeCell ref="C2:D2"/>
    <mergeCell ref="A3:B3"/>
    <mergeCell ref="C3:D3"/>
    <mergeCell ref="I11:J11"/>
    <mergeCell ref="I12:J12"/>
    <mergeCell ref="H13:J13"/>
    <mergeCell ref="A14:J14"/>
    <mergeCell ref="A6:B6"/>
    <mergeCell ref="C6:D6"/>
    <mergeCell ref="A7:F7"/>
    <mergeCell ref="G8:J8"/>
    <mergeCell ref="I9:J9"/>
    <mergeCell ref="I10:J10"/>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0F3B7-050E-40C4-BFC7-161683BE8662}">
  <sheetPr codeName="Sheet12">
    <tabColor theme="8" tint="0.39997558519241921"/>
  </sheetPr>
  <dimension ref="A1:J40"/>
  <sheetViews>
    <sheetView zoomScale="80" zoomScaleNormal="80" workbookViewId="0">
      <selection activeCell="C3" sqref="C3:D3"/>
    </sheetView>
  </sheetViews>
  <sheetFormatPr defaultRowHeight="14.5" x14ac:dyDescent="0.35"/>
  <cols>
    <col min="1" max="1" width="8.81640625" customWidth="1"/>
    <col min="2" max="2" width="12.1796875" bestFit="1" customWidth="1"/>
    <col min="3" max="3" width="10.1796875" customWidth="1"/>
    <col min="4" max="4" width="27" customWidth="1"/>
    <col min="5" max="5" width="21.1796875" customWidth="1"/>
    <col min="6" max="6" width="9.1796875" customWidth="1"/>
    <col min="7" max="7" width="20.81640625" customWidth="1"/>
    <col min="8" max="8" width="12.1796875" bestFit="1" customWidth="1"/>
    <col min="9" max="9" width="17.81640625" bestFit="1" customWidth="1"/>
    <col min="10" max="10" width="10.81640625" customWidth="1"/>
  </cols>
  <sheetData>
    <row r="1" spans="1:10" ht="15" thickBot="1" x14ac:dyDescent="0.4">
      <c r="A1" s="191" t="s">
        <v>66</v>
      </c>
      <c r="B1" s="192"/>
      <c r="C1" s="157"/>
      <c r="D1" s="157"/>
      <c r="E1" s="192"/>
      <c r="F1" s="192"/>
      <c r="G1" s="192"/>
      <c r="H1" s="192"/>
      <c r="I1" s="192"/>
      <c r="J1" s="193"/>
    </row>
    <row r="2" spans="1:10" x14ac:dyDescent="0.35">
      <c r="A2" s="194" t="s">
        <v>67</v>
      </c>
      <c r="B2" s="195"/>
      <c r="C2" s="170" t="s">
        <v>143</v>
      </c>
      <c r="D2" s="196"/>
      <c r="E2" s="39" t="s">
        <v>69</v>
      </c>
      <c r="F2" s="9"/>
      <c r="G2" s="18" t="s">
        <v>70</v>
      </c>
      <c r="H2" s="17"/>
      <c r="I2" s="19" t="s">
        <v>71</v>
      </c>
      <c r="J2" s="16"/>
    </row>
    <row r="3" spans="1:10" x14ac:dyDescent="0.35">
      <c r="A3" s="166" t="s">
        <v>72</v>
      </c>
      <c r="B3" s="172"/>
      <c r="C3" s="151" t="s">
        <v>180</v>
      </c>
      <c r="D3" s="152"/>
      <c r="E3" s="40" t="s">
        <v>73</v>
      </c>
      <c r="F3" s="12"/>
      <c r="G3" s="20" t="s">
        <v>74</v>
      </c>
      <c r="H3" s="20" t="s">
        <v>75</v>
      </c>
      <c r="I3" s="20" t="s">
        <v>76</v>
      </c>
      <c r="J3" s="22" t="s">
        <v>77</v>
      </c>
    </row>
    <row r="4" spans="1:10" x14ac:dyDescent="0.35">
      <c r="A4" s="166" t="s">
        <v>141</v>
      </c>
      <c r="B4" s="172"/>
      <c r="C4" s="151">
        <v>2020</v>
      </c>
      <c r="D4" s="173"/>
      <c r="E4" s="40"/>
      <c r="F4" s="12"/>
      <c r="G4" s="20"/>
      <c r="H4" s="20"/>
      <c r="I4" s="20"/>
      <c r="J4" s="22"/>
    </row>
    <row r="5" spans="1:10" x14ac:dyDescent="0.35">
      <c r="A5" s="166" t="s">
        <v>79</v>
      </c>
      <c r="B5" s="172"/>
      <c r="C5" s="153">
        <v>43681</v>
      </c>
      <c r="D5" s="152"/>
      <c r="E5" s="145" t="s">
        <v>80</v>
      </c>
      <c r="F5" s="10"/>
      <c r="G5" s="20" t="s">
        <v>81</v>
      </c>
      <c r="H5" s="3"/>
      <c r="I5" s="3"/>
      <c r="J5" s="4"/>
    </row>
    <row r="6" spans="1:10" ht="15" thickBot="1" x14ac:dyDescent="0.4">
      <c r="A6" s="168" t="s">
        <v>82</v>
      </c>
      <c r="B6" s="190"/>
      <c r="C6" s="154" t="s">
        <v>142</v>
      </c>
      <c r="D6" s="155"/>
      <c r="E6" s="146"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0.5</v>
      </c>
      <c r="C16" s="7">
        <v>5</v>
      </c>
      <c r="D16" t="str">
        <f ca="1">_xlfn.TEXTJOIN(", ", TRUE, RANDBETWEEN(20, 85), RANDBETWEEN(20, 85), RANDBETWEEN(20, 85), RANDBETWEEN(20, 85), RANDBETWEEN(20, 85), RANDBETWEEN(20, 85), RANDBETWEEN(20, 85), RANDBETWEEN(20, 85), RANDBETWEEN(20, 85), RANDBETWEEN(20, 85))</f>
        <v>82, 63, 32, 78, 41, 32, 53, 50, 20, 32</v>
      </c>
      <c r="E16" s="54" cm="1">
        <f t="array" aca="1" ref="E16" ca="1">AverageStipeDiameter(D16)</f>
        <v>48.3</v>
      </c>
      <c r="F16" s="29">
        <v>21</v>
      </c>
      <c r="G16" s="7">
        <v>0.5</v>
      </c>
      <c r="H16" s="7">
        <f t="shared" ref="H16:H35" ca="1" si="0">RANDBETWEEN(1,25)</f>
        <v>2</v>
      </c>
      <c r="I16" t="str">
        <f t="shared" ref="I16:I19" ca="1" si="1">_xlfn.TEXTJOIN(", ", TRUE, RANDBETWEEN(20, 85), RANDBETWEEN(20, 85), RANDBETWEEN(20, 85), RANDBETWEEN(20, 85), RANDBETWEEN(20, 85), RANDBETWEEN(20, 85), RANDBETWEEN(20, 85), RANDBETWEEN(20, 85), RANDBETWEEN(20, 85), RANDBETWEEN(20, 85))</f>
        <v>63, 82, 85, 71, 69, 58, 56, 82, 79, 47</v>
      </c>
      <c r="J16" s="92" cm="1">
        <f t="array" aca="1" ref="J16" ca="1">AverageStipeDiameter(I16)</f>
        <v>69.2</v>
      </c>
    </row>
    <row r="17" spans="1:10" x14ac:dyDescent="0.35">
      <c r="A17" s="27">
        <v>2</v>
      </c>
      <c r="B17" s="7">
        <v>0.5</v>
      </c>
      <c r="C17" s="7">
        <v>15</v>
      </c>
      <c r="D17" t="str">
        <f t="shared" ref="D17:D35" ca="1" si="2">_xlfn.TEXTJOIN(", ", TRUE, RANDBETWEEN(20, 85), RANDBETWEEN(20, 85), RANDBETWEEN(20, 85), RANDBETWEEN(20, 85), RANDBETWEEN(20, 85), RANDBETWEEN(20, 85), RANDBETWEEN(20, 85), RANDBETWEEN(20, 85), RANDBETWEEN(20, 85), RANDBETWEEN(20, 85))</f>
        <v>23, 30, 61, 76, 51, 39, 34, 45, 75, 43</v>
      </c>
      <c r="E17" s="54" cm="1">
        <f t="array" aca="1" ref="E17" ca="1">AverageStipeDiameter(D17)</f>
        <v>47.7</v>
      </c>
      <c r="F17" s="29">
        <v>22</v>
      </c>
      <c r="G17" s="7">
        <v>0.5</v>
      </c>
      <c r="H17" s="7">
        <f t="shared" ca="1" si="0"/>
        <v>22</v>
      </c>
      <c r="I17" t="str">
        <f t="shared" ca="1" si="1"/>
        <v>38, 69, 77, 27, 67, 62, 64, 72, 33, 39</v>
      </c>
      <c r="J17" s="92" cm="1">
        <f t="array" aca="1" ref="J17" ca="1">AverageStipeDiameter(I17)</f>
        <v>54.8</v>
      </c>
    </row>
    <row r="18" spans="1:10" x14ac:dyDescent="0.35">
      <c r="A18" s="27">
        <v>3</v>
      </c>
      <c r="B18" s="7">
        <v>1</v>
      </c>
      <c r="C18" s="7">
        <v>10</v>
      </c>
      <c r="D18" t="str">
        <f t="shared" ca="1" si="2"/>
        <v>69, 47, 48, 77, 65, 70, 58, 58, 72, 46</v>
      </c>
      <c r="E18" s="54" cm="1">
        <f t="array" aca="1" ref="E18" ca="1">AverageStipeDiameter(D18)</f>
        <v>61</v>
      </c>
      <c r="F18" s="29">
        <v>23</v>
      </c>
      <c r="G18" s="7">
        <v>1</v>
      </c>
      <c r="H18" s="7">
        <f t="shared" ca="1" si="0"/>
        <v>12</v>
      </c>
      <c r="I18" t="str">
        <f t="shared" ca="1" si="1"/>
        <v>60, 26, 40, 67, 27, 55, 70, 74, 21, 53</v>
      </c>
      <c r="J18" s="92" cm="1">
        <f t="array" aca="1" ref="J18" ca="1">AverageStipeDiameter(I18)</f>
        <v>49.3</v>
      </c>
    </row>
    <row r="19" spans="1:10" x14ac:dyDescent="0.35">
      <c r="A19" s="27">
        <v>4</v>
      </c>
      <c r="B19" s="7">
        <v>1</v>
      </c>
      <c r="C19" s="7">
        <v>3</v>
      </c>
      <c r="D19" t="str">
        <f t="shared" ca="1" si="2"/>
        <v>62, 66, 44, 23, 71, 59, 84, 85, 54, 36</v>
      </c>
      <c r="E19" s="54" cm="1">
        <f t="array" aca="1" ref="E19" ca="1">AverageStipeDiameter(D19)</f>
        <v>58.4</v>
      </c>
      <c r="F19" s="29">
        <v>24</v>
      </c>
      <c r="G19" s="7">
        <v>1</v>
      </c>
      <c r="H19" s="7">
        <f t="shared" ca="1" si="0"/>
        <v>24</v>
      </c>
      <c r="I19" t="str">
        <f t="shared" ca="1" si="1"/>
        <v>33, 32, 71, 53, 23, 37, 78, 57, 64, 23</v>
      </c>
      <c r="J19" s="92" cm="1">
        <f t="array" aca="1" ref="J19" ca="1">AverageStipeDiameter(I19)</f>
        <v>47.1</v>
      </c>
    </row>
    <row r="20" spans="1:10" x14ac:dyDescent="0.35">
      <c r="A20" s="27">
        <v>5</v>
      </c>
      <c r="B20" s="7">
        <v>1</v>
      </c>
      <c r="C20" s="7">
        <v>8</v>
      </c>
      <c r="D20" t="str">
        <f t="shared" ca="1" si="2"/>
        <v>67, 20, 59, 63, 49, 52, 42, 26, 76, 71</v>
      </c>
      <c r="E20" s="54" cm="1">
        <f t="array" aca="1" ref="E20" ca="1">AverageStipeDiameter(D20)</f>
        <v>52.5</v>
      </c>
      <c r="F20" s="29">
        <v>25</v>
      </c>
      <c r="G20" s="7">
        <v>1</v>
      </c>
      <c r="H20" s="7">
        <f t="shared" ca="1" si="0"/>
        <v>3</v>
      </c>
      <c r="I20" t="str">
        <f ca="1">_xlfn.TEXTJOIN(", ", TRUE, RANDBETWEEN(20, 85), RANDBETWEEN(20, 85), RANDBETWEEN(20, 85), RANDBETWEEN(20, 85), RANDBETWEEN(20, 85), RANDBETWEEN(20, 85), RANDBETWEEN(20, 85), RANDBETWEEN(20, 85), RANDBETWEEN(20, 85), RANDBETWEEN(20, 85))</f>
        <v>55, 61, 68, 51, 31, 23, 35, 71, 40, 22</v>
      </c>
      <c r="J20" s="92" cm="1">
        <f t="array" aca="1" ref="J20" ca="1">AverageStipeDiameter(I20)</f>
        <v>45.7</v>
      </c>
    </row>
    <row r="21" spans="1:10" x14ac:dyDescent="0.35">
      <c r="A21" s="27">
        <v>6</v>
      </c>
      <c r="B21" s="7">
        <v>1</v>
      </c>
      <c r="C21" s="7">
        <v>4</v>
      </c>
      <c r="D21" t="str">
        <f t="shared" ca="1" si="2"/>
        <v>49, 20, 44, 29, 32, 46, 82, 63, 68, 82</v>
      </c>
      <c r="E21" s="54" cm="1">
        <f t="array" aca="1" ref="E21" ca="1">AverageStipeDiameter(D21)</f>
        <v>51.5</v>
      </c>
      <c r="F21" s="29">
        <v>26</v>
      </c>
      <c r="G21" s="7">
        <v>1</v>
      </c>
      <c r="H21" s="7">
        <f t="shared" ca="1" si="0"/>
        <v>4</v>
      </c>
      <c r="I21" t="str">
        <f t="shared" ref="I21:I35" ca="1" si="3">_xlfn.TEXTJOIN(", ", TRUE, RANDBETWEEN(20, 85), RANDBETWEEN(20, 85), RANDBETWEEN(20, 85), RANDBETWEEN(20, 85), RANDBETWEEN(20, 85), RANDBETWEEN(20, 85), RANDBETWEEN(20, 85), RANDBETWEEN(20, 85), RANDBETWEEN(20, 85), RANDBETWEEN(20, 85))</f>
        <v>65, 21, 53, 39, 75, 51, 22, 80, 60, 32</v>
      </c>
      <c r="J21" s="92" cm="1">
        <f t="array" aca="1" ref="J21" ca="1">AverageStipeDiameter(I21)</f>
        <v>49.8</v>
      </c>
    </row>
    <row r="22" spans="1:10" x14ac:dyDescent="0.35">
      <c r="A22" s="27">
        <v>7</v>
      </c>
      <c r="B22" s="7">
        <v>0.5</v>
      </c>
      <c r="C22" s="7">
        <v>10</v>
      </c>
      <c r="D22" t="str">
        <f t="shared" ca="1" si="2"/>
        <v>29, 83, 51, 27, 35, 21, 69, 73, 33, 71</v>
      </c>
      <c r="E22" s="54" cm="1">
        <f t="array" aca="1" ref="E22" ca="1">AverageStipeDiameter(D22)</f>
        <v>49.2</v>
      </c>
      <c r="F22" s="29">
        <v>27</v>
      </c>
      <c r="G22" s="7">
        <v>0.5</v>
      </c>
      <c r="H22" s="7">
        <f t="shared" ca="1" si="0"/>
        <v>20</v>
      </c>
      <c r="I22" t="str">
        <f t="shared" ca="1" si="3"/>
        <v>24, 74, 41, 40, 35, 60, 28, 58, 37, 82</v>
      </c>
      <c r="J22" s="92" cm="1">
        <f t="array" aca="1" ref="J22" ca="1">AverageStipeDiameter(I22)</f>
        <v>47.9</v>
      </c>
    </row>
    <row r="23" spans="1:10" x14ac:dyDescent="0.35">
      <c r="A23" s="27">
        <v>8</v>
      </c>
      <c r="B23" s="7">
        <v>2</v>
      </c>
      <c r="C23" s="7">
        <v>13</v>
      </c>
      <c r="D23" t="str">
        <f t="shared" ca="1" si="2"/>
        <v>20, 58, 75, 68, 22, 72, 77, 75, 77, 63</v>
      </c>
      <c r="E23" s="54" cm="1">
        <f t="array" aca="1" ref="E23" ca="1">AverageStipeDiameter(D23)</f>
        <v>60.7</v>
      </c>
      <c r="F23" s="29">
        <v>28</v>
      </c>
      <c r="G23" s="7">
        <v>2</v>
      </c>
      <c r="H23" s="7">
        <f t="shared" ca="1" si="0"/>
        <v>21</v>
      </c>
      <c r="I23" t="str">
        <f t="shared" ca="1" si="3"/>
        <v>20, 40, 76, 75, 68, 82, 83, 34, 28, 31</v>
      </c>
      <c r="J23" s="92" cm="1">
        <f t="array" aca="1" ref="J23" ca="1">AverageStipeDiameter(I23)</f>
        <v>53.7</v>
      </c>
    </row>
    <row r="24" spans="1:10" x14ac:dyDescent="0.35">
      <c r="A24" s="27">
        <v>9</v>
      </c>
      <c r="B24" s="7">
        <v>1</v>
      </c>
      <c r="C24" s="7">
        <v>19</v>
      </c>
      <c r="D24" t="str">
        <f t="shared" ca="1" si="2"/>
        <v>72, 31, 63, 71, 23, 49, 65, 69, 52, 71</v>
      </c>
      <c r="E24" s="54" cm="1">
        <f t="array" aca="1" ref="E24" ca="1">AverageStipeDiameter(D24)</f>
        <v>56.6</v>
      </c>
      <c r="F24" s="29">
        <v>29</v>
      </c>
      <c r="G24" s="7">
        <v>1</v>
      </c>
      <c r="H24" s="7">
        <f t="shared" ca="1" si="0"/>
        <v>21</v>
      </c>
      <c r="I24" t="str">
        <f t="shared" ca="1" si="3"/>
        <v>26, 57, 32, 81, 20, 26, 30, 85, 45, 53</v>
      </c>
      <c r="J24" s="92" cm="1">
        <f t="array" aca="1" ref="J24" ca="1">AverageStipeDiameter(I24)</f>
        <v>45.5</v>
      </c>
    </row>
    <row r="25" spans="1:10" x14ac:dyDescent="0.35">
      <c r="A25" s="27">
        <v>10</v>
      </c>
      <c r="B25" s="7">
        <v>1</v>
      </c>
      <c r="C25" s="7">
        <v>8</v>
      </c>
      <c r="D25" t="str">
        <f t="shared" ca="1" si="2"/>
        <v>76, 33, 23, 60, 84, 37, 20, 76, 26, 30</v>
      </c>
      <c r="E25" s="54" cm="1">
        <f t="array" aca="1" ref="E25" ca="1">AverageStipeDiameter(D25)</f>
        <v>46.5</v>
      </c>
      <c r="F25" s="29">
        <v>30</v>
      </c>
      <c r="G25" s="7">
        <v>1</v>
      </c>
      <c r="H25" s="7">
        <f t="shared" ca="1" si="0"/>
        <v>4</v>
      </c>
      <c r="I25" t="str">
        <f t="shared" ca="1" si="3"/>
        <v>83, 82, 50, 77, 72, 32, 41, 67, 79, 62</v>
      </c>
      <c r="J25" s="92" cm="1">
        <f t="array" aca="1" ref="J25" ca="1">AverageStipeDiameter(I25)</f>
        <v>64.5</v>
      </c>
    </row>
    <row r="26" spans="1:10" x14ac:dyDescent="0.35">
      <c r="A26" s="27">
        <v>11</v>
      </c>
      <c r="B26" s="7">
        <v>2</v>
      </c>
      <c r="C26" s="7">
        <v>10</v>
      </c>
      <c r="D26" t="str">
        <f t="shared" ca="1" si="2"/>
        <v>33, 27, 67, 66, 34, 31, 47, 29, 59, 82</v>
      </c>
      <c r="E26" s="54" cm="1">
        <f t="array" aca="1" ref="E26" ca="1">AverageStipeDiameter(D26)</f>
        <v>47.5</v>
      </c>
      <c r="F26" s="29">
        <v>31</v>
      </c>
      <c r="G26" s="7">
        <v>2</v>
      </c>
      <c r="H26" s="7">
        <f t="shared" ca="1" si="0"/>
        <v>10</v>
      </c>
      <c r="I26" t="str">
        <f t="shared" ca="1" si="3"/>
        <v>62, 37, 81, 83, 78, 82, 80, 85, 44, 48</v>
      </c>
      <c r="J26" s="92" cm="1">
        <f t="array" aca="1" ref="J26" ca="1">AverageStipeDiameter(I26)</f>
        <v>68</v>
      </c>
    </row>
    <row r="27" spans="1:10" x14ac:dyDescent="0.35">
      <c r="A27" s="27">
        <v>12</v>
      </c>
      <c r="B27" s="7">
        <v>2</v>
      </c>
      <c r="C27" s="7">
        <v>15</v>
      </c>
      <c r="D27" t="str">
        <f t="shared" ca="1" si="2"/>
        <v>79, 39, 31, 44, 43, 47, 81, 21, 29, 72</v>
      </c>
      <c r="E27" s="54" cm="1">
        <f t="array" aca="1" ref="E27" ca="1">AverageStipeDiameter(D27)</f>
        <v>48.6</v>
      </c>
      <c r="F27" s="29">
        <v>32</v>
      </c>
      <c r="G27" s="7">
        <v>2</v>
      </c>
      <c r="H27" s="7">
        <f t="shared" ca="1" si="0"/>
        <v>15</v>
      </c>
      <c r="I27" t="str">
        <f t="shared" ca="1" si="3"/>
        <v>35, 65, 58, 40, 39, 78, 71, 59, 54, 40</v>
      </c>
      <c r="J27" s="92" cm="1">
        <f t="array" aca="1" ref="J27" ca="1">AverageStipeDiameter(I27)</f>
        <v>53.9</v>
      </c>
    </row>
    <row r="28" spans="1:10" x14ac:dyDescent="0.35">
      <c r="A28" s="27">
        <v>13</v>
      </c>
      <c r="B28" s="7">
        <v>2</v>
      </c>
      <c r="C28" s="7">
        <v>12</v>
      </c>
      <c r="D28" t="str">
        <f t="shared" ca="1" si="2"/>
        <v>40, 58, 61, 37, 28, 30, 58, 57, 65, 72</v>
      </c>
      <c r="E28" s="54" cm="1">
        <f t="array" aca="1" ref="E28" ca="1">AverageStipeDiameter(D28)</f>
        <v>50.6</v>
      </c>
      <c r="F28" s="29">
        <v>33</v>
      </c>
      <c r="G28" s="7">
        <v>2</v>
      </c>
      <c r="H28" s="7">
        <f t="shared" ca="1" si="0"/>
        <v>23</v>
      </c>
      <c r="I28" t="str">
        <f t="shared" ca="1" si="3"/>
        <v>29, 48, 60, 50, 28, 67, 71, 59, 28, 51</v>
      </c>
      <c r="J28" s="92" cm="1">
        <f t="array" aca="1" ref="J28" ca="1">AverageStipeDiameter(I28)</f>
        <v>49.1</v>
      </c>
    </row>
    <row r="29" spans="1:10" x14ac:dyDescent="0.35">
      <c r="A29" s="27">
        <v>14</v>
      </c>
      <c r="B29" s="7">
        <v>0</v>
      </c>
      <c r="C29" s="7">
        <f ca="1">RANDBETWEEN(1,25)</f>
        <v>8</v>
      </c>
      <c r="D29" t="str">
        <f t="shared" ca="1" si="2"/>
        <v>51, 25, 36, 75, 26, 41, 67, 71, 40, 22</v>
      </c>
      <c r="E29" s="54" cm="1">
        <f t="array" aca="1" ref="E29" ca="1">AverageStipeDiameter(D29)</f>
        <v>45.4</v>
      </c>
      <c r="F29" s="29">
        <v>34</v>
      </c>
      <c r="G29" s="7">
        <v>0</v>
      </c>
      <c r="H29" s="7">
        <f t="shared" ca="1" si="0"/>
        <v>23</v>
      </c>
      <c r="I29" t="str">
        <f t="shared" ca="1" si="3"/>
        <v>66, 56, 23, 21, 34, 39, 55, 28, 28, 53</v>
      </c>
      <c r="J29" s="92" cm="1">
        <f t="array" aca="1" ref="J29" ca="1">AverageStipeDiameter(I29)</f>
        <v>40.299999999999997</v>
      </c>
    </row>
    <row r="30" spans="1:10" x14ac:dyDescent="0.35">
      <c r="A30" s="27">
        <v>15</v>
      </c>
      <c r="B30" s="7">
        <v>0</v>
      </c>
      <c r="C30" s="7">
        <f t="shared" ref="C30:C35" ca="1" si="4">RANDBETWEEN(1,25)</f>
        <v>22</v>
      </c>
      <c r="D30" t="str">
        <f t="shared" ca="1" si="2"/>
        <v>23, 79, 41, 47, 69, 20, 54, 45, 20, 33</v>
      </c>
      <c r="E30" s="54" cm="1">
        <f t="array" aca="1" ref="E30" ca="1">AverageStipeDiameter(D30)</f>
        <v>43.1</v>
      </c>
      <c r="F30" s="29">
        <v>35</v>
      </c>
      <c r="G30" s="7">
        <v>0</v>
      </c>
      <c r="H30" s="7">
        <f t="shared" ca="1" si="0"/>
        <v>15</v>
      </c>
      <c r="I30" t="str">
        <f t="shared" ca="1" si="3"/>
        <v>63, 79, 22, 80, 59, 25, 33, 32, 26, 22</v>
      </c>
      <c r="J30" s="92" cm="1">
        <f t="array" aca="1" ref="J30" ca="1">AverageStipeDiameter(I30)</f>
        <v>44.1</v>
      </c>
    </row>
    <row r="31" spans="1:10" x14ac:dyDescent="0.35">
      <c r="A31" s="27">
        <v>16</v>
      </c>
      <c r="B31" s="7">
        <v>0.5</v>
      </c>
      <c r="C31" s="7">
        <f t="shared" ca="1" si="4"/>
        <v>15</v>
      </c>
      <c r="D31" t="str">
        <f t="shared" ca="1" si="2"/>
        <v>58, 40, 62, 69, 30, 54, 76, 45, 43, 85</v>
      </c>
      <c r="E31" s="54" cm="1">
        <f t="array" aca="1" ref="E31" ca="1">AverageStipeDiameter(D31)</f>
        <v>56.2</v>
      </c>
      <c r="F31" s="29">
        <v>36</v>
      </c>
      <c r="G31" s="7">
        <v>0.5</v>
      </c>
      <c r="H31" s="7">
        <f t="shared" ca="1" si="0"/>
        <v>8</v>
      </c>
      <c r="I31" t="str">
        <f t="shared" ca="1" si="3"/>
        <v>30, 64, 77, 66, 76, 56, 71, 50, 21, 71</v>
      </c>
      <c r="J31" s="92" cm="1">
        <f t="array" aca="1" ref="J31" ca="1">AverageStipeDiameter(I31)</f>
        <v>58.2</v>
      </c>
    </row>
    <row r="32" spans="1:10" x14ac:dyDescent="0.35">
      <c r="A32" s="27">
        <v>17</v>
      </c>
      <c r="B32" s="7">
        <v>0.5</v>
      </c>
      <c r="C32" s="7">
        <f t="shared" ca="1" si="4"/>
        <v>9</v>
      </c>
      <c r="D32" t="str">
        <f t="shared" ca="1" si="2"/>
        <v>59, 48, 84, 30, 78, 75, 24, 54, 73, 60</v>
      </c>
      <c r="E32" s="54" cm="1">
        <f t="array" aca="1" ref="E32" ca="1">AverageStipeDiameter(D32)</f>
        <v>58.5</v>
      </c>
      <c r="F32" s="29">
        <v>37</v>
      </c>
      <c r="G32" s="7">
        <v>0.5</v>
      </c>
      <c r="H32" s="7">
        <f t="shared" ca="1" si="0"/>
        <v>1</v>
      </c>
      <c r="I32" t="str">
        <f t="shared" ca="1" si="3"/>
        <v>63, 54, 56, 84, 68, 83, 35, 65, 74, 71</v>
      </c>
      <c r="J32" s="92" cm="1">
        <f t="array" aca="1" ref="J32" ca="1">AverageStipeDiameter(I32)</f>
        <v>65.3</v>
      </c>
    </row>
    <row r="33" spans="1:10" x14ac:dyDescent="0.35">
      <c r="A33" s="27">
        <v>18</v>
      </c>
      <c r="B33" s="7">
        <v>1</v>
      </c>
      <c r="C33" s="7">
        <f t="shared" ca="1" si="4"/>
        <v>11</v>
      </c>
      <c r="D33" t="str">
        <f t="shared" ca="1" si="2"/>
        <v>35, 60, 55, 20, 25, 69, 37, 32, 48, 69</v>
      </c>
      <c r="E33" s="54" cm="1">
        <f t="array" aca="1" ref="E33" ca="1">AverageStipeDiameter(D33)</f>
        <v>45</v>
      </c>
      <c r="F33" s="29">
        <v>38</v>
      </c>
      <c r="G33" s="7">
        <v>1</v>
      </c>
      <c r="H33" s="7">
        <f t="shared" ca="1" si="0"/>
        <v>8</v>
      </c>
      <c r="I33" t="str">
        <f t="shared" ca="1" si="3"/>
        <v>23, 77, 71, 31, 67, 70, 24, 32, 76, 41</v>
      </c>
      <c r="J33" s="92" cm="1">
        <f t="array" aca="1" ref="J33" ca="1">AverageStipeDiameter(I33)</f>
        <v>51.2</v>
      </c>
    </row>
    <row r="34" spans="1:10" x14ac:dyDescent="0.35">
      <c r="A34" s="27">
        <v>19</v>
      </c>
      <c r="B34" s="7">
        <v>2</v>
      </c>
      <c r="C34" s="7">
        <f t="shared" ca="1" si="4"/>
        <v>7</v>
      </c>
      <c r="D34" t="str">
        <f t="shared" ca="1" si="2"/>
        <v>35, 23, 61, 57, 80, 54, 41, 60, 43, 63</v>
      </c>
      <c r="E34" s="54" cm="1">
        <f t="array" aca="1" ref="E34" ca="1">AverageStipeDiameter(D34)</f>
        <v>51.7</v>
      </c>
      <c r="F34" s="29">
        <v>39</v>
      </c>
      <c r="G34" s="7">
        <v>2</v>
      </c>
      <c r="H34" s="7">
        <f t="shared" ca="1" si="0"/>
        <v>13</v>
      </c>
      <c r="I34" t="str">
        <f t="shared" ca="1" si="3"/>
        <v>54, 24, 52, 77, 82, 20, 20, 21, 54, 72</v>
      </c>
      <c r="J34" s="92" cm="1">
        <f t="array" aca="1" ref="J34" ca="1">AverageStipeDiameter(I34)</f>
        <v>47.6</v>
      </c>
    </row>
    <row r="35" spans="1:10" ht="15" thickBot="1" x14ac:dyDescent="0.4">
      <c r="A35" s="28">
        <v>20</v>
      </c>
      <c r="B35" s="8">
        <v>3</v>
      </c>
      <c r="C35" s="7">
        <f t="shared" ca="1" si="4"/>
        <v>22</v>
      </c>
      <c r="D35" t="str">
        <f t="shared" ca="1" si="2"/>
        <v>67, 39, 65, 53, 74, 65, 38, 73, 69, 75</v>
      </c>
      <c r="E35" s="93" cm="1">
        <f t="array" aca="1" ref="E35" ca="1">AverageStipeDiameter(D35)</f>
        <v>61.8</v>
      </c>
      <c r="F35" s="30">
        <v>40</v>
      </c>
      <c r="G35" s="8">
        <v>3</v>
      </c>
      <c r="H35" s="7">
        <f t="shared" ca="1" si="0"/>
        <v>22</v>
      </c>
      <c r="I35" t="str">
        <f t="shared" ca="1" si="3"/>
        <v>81, 41, 27, 37, 34, 62, 42, 81, 27, 22</v>
      </c>
      <c r="J35" s="94" cm="1">
        <f t="array" aca="1" ref="J35" ca="1">AverageStipeDiameter(I35)</f>
        <v>45.4</v>
      </c>
    </row>
    <row r="36" spans="1:10" ht="17" thickBot="1" x14ac:dyDescent="0.4">
      <c r="A36" s="188" t="s">
        <v>133</v>
      </c>
      <c r="B36" s="189"/>
      <c r="C36" s="80">
        <v>1200</v>
      </c>
    </row>
    <row r="37" spans="1:10" ht="17" thickBot="1" x14ac:dyDescent="0.4">
      <c r="A37" s="186" t="s">
        <v>134</v>
      </c>
      <c r="B37" s="187"/>
      <c r="C37" s="81">
        <v>950</v>
      </c>
    </row>
    <row r="38" spans="1:10" ht="15" thickBot="1" x14ac:dyDescent="0.4">
      <c r="A38" s="182" t="s">
        <v>135</v>
      </c>
      <c r="B38" s="183"/>
      <c r="C38" s="78" cm="1">
        <f t="array" ref="C38">Bryozoans(B16:B35,G16:G35)</f>
        <v>16.666666666666668</v>
      </c>
    </row>
    <row r="39" spans="1:10" ht="15" thickBot="1" x14ac:dyDescent="0.4">
      <c r="A39" s="184" t="s">
        <v>136</v>
      </c>
      <c r="B39" s="185"/>
      <c r="C39" s="79" cm="1">
        <f t="array" aca="1" ref="C39" ca="1">AverageCSVcols(D16:D35,I16:I35)</f>
        <v>52.284999999999997</v>
      </c>
    </row>
    <row r="40" spans="1:10" ht="15" thickBot="1" x14ac:dyDescent="0.4">
      <c r="A40" s="186" t="s">
        <v>137</v>
      </c>
      <c r="B40" s="187"/>
      <c r="C40" s="77">
        <f ca="1">AVERAGE(C16:C35,H16:H35)</f>
        <v>12.425000000000001</v>
      </c>
    </row>
  </sheetData>
  <mergeCells count="24">
    <mergeCell ref="A36:B36"/>
    <mergeCell ref="A37:B37"/>
    <mergeCell ref="A38:B38"/>
    <mergeCell ref="A39:B39"/>
    <mergeCell ref="A40:B40"/>
    <mergeCell ref="A14:J14"/>
    <mergeCell ref="A5:B5"/>
    <mergeCell ref="C5:D5"/>
    <mergeCell ref="A6:B6"/>
    <mergeCell ref="C6:D6"/>
    <mergeCell ref="A7:F7"/>
    <mergeCell ref="G8:J8"/>
    <mergeCell ref="I9:J9"/>
    <mergeCell ref="I10:J10"/>
    <mergeCell ref="I11:J11"/>
    <mergeCell ref="I12:J12"/>
    <mergeCell ref="H13:J13"/>
    <mergeCell ref="A4:B4"/>
    <mergeCell ref="C4:D4"/>
    <mergeCell ref="A1:J1"/>
    <mergeCell ref="A2:B2"/>
    <mergeCell ref="C2:D2"/>
    <mergeCell ref="A3:B3"/>
    <mergeCell ref="C3:D3"/>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E526B-788D-4E57-935A-DE08A3C4F9DF}">
  <sheetPr codeName="Sheet15">
    <tabColor theme="8" tint="0.59999389629810485"/>
  </sheetPr>
  <dimension ref="A1:J40"/>
  <sheetViews>
    <sheetView zoomScale="80" zoomScaleNormal="80" workbookViewId="0">
      <selection activeCell="C3" sqref="C3:D3"/>
    </sheetView>
  </sheetViews>
  <sheetFormatPr defaultRowHeight="14.5" x14ac:dyDescent="0.35"/>
  <cols>
    <col min="1" max="1" width="11.1796875" customWidth="1"/>
    <col min="2" max="2" width="12.1796875" bestFit="1" customWidth="1"/>
    <col min="3" max="3" width="10.1796875" customWidth="1"/>
    <col min="4" max="4" width="27" customWidth="1"/>
    <col min="5" max="5" width="21.1796875" customWidth="1"/>
    <col min="6" max="6" width="9.1796875" customWidth="1"/>
    <col min="7" max="7" width="20.81640625" customWidth="1"/>
    <col min="8" max="8" width="12.1796875" bestFit="1" customWidth="1"/>
    <col min="9" max="9" width="17.81640625" bestFit="1" customWidth="1"/>
    <col min="10" max="10" width="10.81640625" customWidth="1"/>
  </cols>
  <sheetData>
    <row r="1" spans="1:10" ht="15" thickBot="1" x14ac:dyDescent="0.4">
      <c r="A1" s="191" t="s">
        <v>66</v>
      </c>
      <c r="B1" s="192"/>
      <c r="C1" s="157"/>
      <c r="D1" s="157"/>
      <c r="E1" s="192"/>
      <c r="F1" s="192"/>
      <c r="G1" s="192"/>
      <c r="H1" s="192"/>
      <c r="I1" s="192"/>
      <c r="J1" s="193"/>
    </row>
    <row r="2" spans="1:10" x14ac:dyDescent="0.35">
      <c r="A2" s="194" t="s">
        <v>67</v>
      </c>
      <c r="B2" s="195"/>
      <c r="C2" s="170" t="s">
        <v>68</v>
      </c>
      <c r="D2" s="196"/>
      <c r="E2" s="39" t="s">
        <v>69</v>
      </c>
      <c r="F2" s="9"/>
      <c r="G2" s="18" t="s">
        <v>70</v>
      </c>
      <c r="H2" s="17"/>
      <c r="I2" s="19" t="s">
        <v>71</v>
      </c>
      <c r="J2" s="16"/>
    </row>
    <row r="3" spans="1:10" x14ac:dyDescent="0.35">
      <c r="A3" s="166" t="s">
        <v>72</v>
      </c>
      <c r="B3" s="172"/>
      <c r="C3" s="151" t="s">
        <v>174</v>
      </c>
      <c r="D3" s="152"/>
      <c r="E3" s="40" t="s">
        <v>73</v>
      </c>
      <c r="F3" s="12"/>
      <c r="G3" s="20" t="s">
        <v>74</v>
      </c>
      <c r="H3" s="20" t="s">
        <v>75</v>
      </c>
      <c r="I3" s="20" t="s">
        <v>76</v>
      </c>
      <c r="J3" s="22" t="s">
        <v>77</v>
      </c>
    </row>
    <row r="4" spans="1:10" x14ac:dyDescent="0.35">
      <c r="A4" s="166" t="s">
        <v>141</v>
      </c>
      <c r="B4" s="172"/>
      <c r="C4" s="151">
        <v>2021</v>
      </c>
      <c r="D4" s="152"/>
      <c r="E4" s="40"/>
      <c r="F4" s="12"/>
      <c r="G4" s="20"/>
      <c r="H4" s="20"/>
      <c r="I4" s="20"/>
      <c r="J4" s="22"/>
    </row>
    <row r="5" spans="1:10" x14ac:dyDescent="0.35">
      <c r="A5" s="166" t="s">
        <v>79</v>
      </c>
      <c r="B5" s="172"/>
      <c r="C5" s="153">
        <v>44379</v>
      </c>
      <c r="D5" s="152"/>
      <c r="E5" s="141" t="s">
        <v>80</v>
      </c>
      <c r="F5" s="10"/>
      <c r="G5" s="20" t="s">
        <v>81</v>
      </c>
      <c r="H5" s="3"/>
      <c r="I5" s="3"/>
      <c r="J5" s="4"/>
    </row>
    <row r="6" spans="1:10" ht="15" thickBot="1" x14ac:dyDescent="0.4">
      <c r="A6" s="168" t="s">
        <v>82</v>
      </c>
      <c r="B6" s="190"/>
      <c r="C6" s="154" t="s">
        <v>139</v>
      </c>
      <c r="D6" s="155"/>
      <c r="E6" s="144"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0.5</v>
      </c>
      <c r="C16" s="7">
        <v>18</v>
      </c>
      <c r="D16" s="3" t="str">
        <f ca="1">_xlfn.TEXTJOIN(", ", TRUE, RANDBETWEEN(20, 85), RANDBETWEEN(20, 85), RANDBETWEEN(20, 85), RANDBETWEEN(20, 85), RANDBETWEEN(20, 85), RANDBETWEEN(20, 85), RANDBETWEEN(20, 85), RANDBETWEEN(20, 85), RANDBETWEEN(20, 85), RANDBETWEEN(20, 85))</f>
        <v>44, 77, 40, 29, 56, 85, 27, 74, 44, 62</v>
      </c>
      <c r="E16" s="29" cm="1">
        <f t="array" aca="1" ref="E16" ca="1">AverageStipeDiameter(D16)</f>
        <v>53.8</v>
      </c>
      <c r="F16" s="29">
        <v>21</v>
      </c>
      <c r="G16" s="7">
        <v>1</v>
      </c>
      <c r="H16" s="7">
        <v>8</v>
      </c>
      <c r="I16" t="str">
        <f ca="1">_xlfn.TEXTJOIN(", ", TRUE, RANDBETWEEN(20, 85), RANDBETWEEN(20, 85), RANDBETWEEN(20, 85), RANDBETWEEN(20, 85), RANDBETWEEN(20, 85), RANDBETWEEN(20, 85), RANDBETWEEN(20, 85), RANDBETWEEN(20, 85), RANDBETWEEN(20, 85), RANDBETWEEN(20, 85))</f>
        <v>71, 48, 82, 25, 20, 64, 56, 29, 61, 84</v>
      </c>
      <c r="J16" s="106" cm="1">
        <f t="array" aca="1" ref="J16" ca="1">AverageStipeDiameter(I16)</f>
        <v>54</v>
      </c>
    </row>
    <row r="17" spans="1:10" x14ac:dyDescent="0.35">
      <c r="A17" s="27">
        <v>2</v>
      </c>
      <c r="B17" s="7">
        <v>0.5</v>
      </c>
      <c r="C17" s="7">
        <v>5</v>
      </c>
      <c r="D17" s="3" t="str">
        <f t="shared" ref="D17:D35" ca="1" si="0">_xlfn.TEXTJOIN(", ", TRUE, RANDBETWEEN(20, 85), RANDBETWEEN(20, 85), RANDBETWEEN(20, 85), RANDBETWEEN(20, 85), RANDBETWEEN(20, 85), RANDBETWEEN(20, 85), RANDBETWEEN(20, 85), RANDBETWEEN(20, 85), RANDBETWEEN(20, 85), RANDBETWEEN(20, 85))</f>
        <v>70, 28, 57, 49, 74, 75, 23, 48, 70, 29</v>
      </c>
      <c r="E17" s="29" cm="1">
        <f t="array" aca="1" ref="E17" ca="1">AverageStipeDiameter(D17)</f>
        <v>52.3</v>
      </c>
      <c r="F17" s="29">
        <v>22</v>
      </c>
      <c r="G17" s="7">
        <v>2</v>
      </c>
      <c r="H17" s="7">
        <v>14</v>
      </c>
      <c r="I17" t="str">
        <f t="shared" ref="I17:I21" ca="1" si="1">_xlfn.TEXTJOIN(", ", TRUE, RANDBETWEEN(20, 85), RANDBETWEEN(20, 85), RANDBETWEEN(20, 85), RANDBETWEEN(20, 85), RANDBETWEEN(20, 85), RANDBETWEEN(20, 85), RANDBETWEEN(20, 85), RANDBETWEEN(20, 85), RANDBETWEEN(20, 85), RANDBETWEEN(20, 85))</f>
        <v>20, 31, 85, 43, 71, 38, 28, 68, 45, 26</v>
      </c>
      <c r="J17" s="106" cm="1">
        <f t="array" aca="1" ref="J17" ca="1">AverageStipeDiameter(I17)</f>
        <v>45.5</v>
      </c>
    </row>
    <row r="18" spans="1:10" x14ac:dyDescent="0.35">
      <c r="A18" s="27">
        <v>3</v>
      </c>
      <c r="B18" s="7">
        <v>1</v>
      </c>
      <c r="C18" s="7">
        <v>2</v>
      </c>
      <c r="D18" s="3" t="str">
        <f t="shared" ca="1" si="0"/>
        <v>45, 23, 29, 77, 27, 65, 44, 22, 62, 35</v>
      </c>
      <c r="E18" s="29" cm="1">
        <f t="array" aca="1" ref="E18" ca="1">AverageStipeDiameter(D18)</f>
        <v>42.9</v>
      </c>
      <c r="F18" s="29">
        <v>23</v>
      </c>
      <c r="G18" s="7">
        <v>1</v>
      </c>
      <c r="H18" s="7">
        <v>6</v>
      </c>
      <c r="I18" t="str">
        <f t="shared" ca="1" si="1"/>
        <v>21, 74, 36, 54, 28, 70, 21, 79, 38, 57</v>
      </c>
      <c r="J18" s="106" cm="1">
        <f t="array" aca="1" ref="J18" ca="1">AverageStipeDiameter(I18)</f>
        <v>47.8</v>
      </c>
    </row>
    <row r="19" spans="1:10" x14ac:dyDescent="0.35">
      <c r="A19" s="27">
        <v>4</v>
      </c>
      <c r="B19" s="7">
        <v>3</v>
      </c>
      <c r="C19" s="7">
        <v>11</v>
      </c>
      <c r="D19" s="3" t="str">
        <f t="shared" ca="1" si="0"/>
        <v>27, 22, 70, 26, 24, 49, 65, 33, 59, 36</v>
      </c>
      <c r="E19" s="29" cm="1">
        <f t="array" aca="1" ref="E19" ca="1">AverageStipeDiameter(D19)</f>
        <v>41.1</v>
      </c>
      <c r="F19" s="29">
        <v>24</v>
      </c>
      <c r="G19" s="7">
        <v>0.5</v>
      </c>
      <c r="H19" s="7">
        <v>8</v>
      </c>
      <c r="I19" t="str">
        <f t="shared" ca="1" si="1"/>
        <v>52, 81, 61, 26, 81, 69, 27, 36, 35, 74</v>
      </c>
      <c r="J19" s="106" cm="1">
        <f t="array" aca="1" ref="J19" ca="1">AverageStipeDiameter(I19)</f>
        <v>54.2</v>
      </c>
    </row>
    <row r="20" spans="1:10" x14ac:dyDescent="0.35">
      <c r="A20" s="27">
        <v>5</v>
      </c>
      <c r="B20" s="7">
        <v>5</v>
      </c>
      <c r="C20" s="7">
        <v>26</v>
      </c>
      <c r="D20" s="3" t="str">
        <f t="shared" ca="1" si="0"/>
        <v>20, 63, 40, 53, 78, 22, 76, 73, 27, 44</v>
      </c>
      <c r="E20" s="29" cm="1">
        <f t="array" aca="1" ref="E20" ca="1">AverageStipeDiameter(D20)</f>
        <v>49.6</v>
      </c>
      <c r="F20" s="29">
        <v>25</v>
      </c>
      <c r="G20" s="7">
        <v>5</v>
      </c>
      <c r="H20" s="7">
        <v>10</v>
      </c>
      <c r="I20" t="str">
        <f t="shared" ca="1" si="1"/>
        <v>50, 42, 78, 74, 66, 45, 68, 68, 58, 48</v>
      </c>
      <c r="J20" s="106" cm="1">
        <f t="array" aca="1" ref="J20" ca="1">AverageStipeDiameter(I20)</f>
        <v>59.7</v>
      </c>
    </row>
    <row r="21" spans="1:10" x14ac:dyDescent="0.35">
      <c r="A21" s="27">
        <v>6</v>
      </c>
      <c r="B21" s="7">
        <v>4</v>
      </c>
      <c r="C21" s="7">
        <v>3</v>
      </c>
      <c r="D21" s="3" t="str">
        <f t="shared" ca="1" si="0"/>
        <v>38, 30, 67, 24, 65, 85, 22, 52, 48, 34</v>
      </c>
      <c r="E21" s="29" cm="1">
        <f t="array" aca="1" ref="E21" ca="1">AverageStipeDiameter(D21)</f>
        <v>46.5</v>
      </c>
      <c r="F21" s="29">
        <v>26</v>
      </c>
      <c r="G21" s="7">
        <v>3</v>
      </c>
      <c r="H21" s="7">
        <v>12</v>
      </c>
      <c r="I21" t="str">
        <f t="shared" ca="1" si="1"/>
        <v>70, 68, 51, 25, 70, 27, 85, 72, 82, 44</v>
      </c>
      <c r="J21" s="106" cm="1">
        <f t="array" aca="1" ref="J21" ca="1">AverageStipeDiameter(I21)</f>
        <v>59.4</v>
      </c>
    </row>
    <row r="22" spans="1:10" x14ac:dyDescent="0.35">
      <c r="A22" s="27">
        <v>7</v>
      </c>
      <c r="B22" s="7">
        <v>0.5</v>
      </c>
      <c r="C22" s="7">
        <v>13</v>
      </c>
      <c r="D22" s="3" t="str">
        <f t="shared" ca="1" si="0"/>
        <v>68, 46, 55, 61, 51, 84, 33, 47, 25, 37</v>
      </c>
      <c r="E22" s="29" cm="1">
        <f t="array" aca="1" ref="E22" ca="1">AverageStipeDiameter(D22)</f>
        <v>50.7</v>
      </c>
      <c r="F22" s="29">
        <v>27</v>
      </c>
      <c r="G22" s="7"/>
      <c r="H22" s="7"/>
      <c r="I22" s="43"/>
      <c r="J22" s="106" cm="1">
        <f t="array" ref="J22">AverageStipeDiameter(I22)</f>
        <v>0</v>
      </c>
    </row>
    <row r="23" spans="1:10" x14ac:dyDescent="0.35">
      <c r="A23" s="27">
        <v>8</v>
      </c>
      <c r="B23" s="7">
        <v>2</v>
      </c>
      <c r="C23" s="7">
        <v>12</v>
      </c>
      <c r="D23" s="3" t="str">
        <f t="shared" ca="1" si="0"/>
        <v>48, 53, 34, 27, 47, 79, 29, 71, 46, 33</v>
      </c>
      <c r="E23" s="29" cm="1">
        <f t="array" aca="1" ref="E23" ca="1">AverageStipeDiameter(D23)</f>
        <v>46.7</v>
      </c>
      <c r="F23" s="29">
        <v>28</v>
      </c>
      <c r="G23" s="7"/>
      <c r="H23" s="7"/>
      <c r="I23" s="43"/>
      <c r="J23" s="106" cm="1">
        <f t="array" ref="J23">AverageStipeDiameter(I23)</f>
        <v>0</v>
      </c>
    </row>
    <row r="24" spans="1:10" x14ac:dyDescent="0.35">
      <c r="A24" s="27">
        <v>9</v>
      </c>
      <c r="B24" s="7">
        <v>2</v>
      </c>
      <c r="C24" s="7">
        <v>9</v>
      </c>
      <c r="D24" s="3" t="str">
        <f t="shared" ca="1" si="0"/>
        <v>79, 59, 81, 30, 51, 75, 22, 72, 39, 77</v>
      </c>
      <c r="E24" s="29" cm="1">
        <f t="array" aca="1" ref="E24" ca="1">AverageStipeDiameter(D24)</f>
        <v>58.5</v>
      </c>
      <c r="F24" s="29">
        <v>29</v>
      </c>
      <c r="G24" s="7"/>
      <c r="H24" s="7"/>
      <c r="I24" s="43"/>
      <c r="J24" s="106" cm="1">
        <f t="array" ref="J24">AverageStipeDiameter(I24)</f>
        <v>0</v>
      </c>
    </row>
    <row r="25" spans="1:10" x14ac:dyDescent="0.35">
      <c r="A25" s="27">
        <v>10</v>
      </c>
      <c r="B25" s="7">
        <v>4</v>
      </c>
      <c r="C25" s="7">
        <v>6</v>
      </c>
      <c r="D25" s="3" t="str">
        <f t="shared" ca="1" si="0"/>
        <v>49, 49, 69, 38, 72, 25, 73, 84, 41, 60</v>
      </c>
      <c r="E25" s="29" cm="1">
        <f t="array" aca="1" ref="E25" ca="1">AverageStipeDiameter(D25)</f>
        <v>56</v>
      </c>
      <c r="F25" s="29">
        <v>30</v>
      </c>
      <c r="G25" s="7"/>
      <c r="H25" s="7"/>
      <c r="I25" s="43"/>
      <c r="J25" s="106" cm="1">
        <f t="array" ref="J25">AverageStipeDiameter(I25)</f>
        <v>0</v>
      </c>
    </row>
    <row r="26" spans="1:10" x14ac:dyDescent="0.35">
      <c r="A26" s="27">
        <v>11</v>
      </c>
      <c r="B26" s="7">
        <v>2</v>
      </c>
      <c r="C26" s="7">
        <v>6</v>
      </c>
      <c r="D26" s="3" t="str">
        <f t="shared" ca="1" si="0"/>
        <v>40, 84, 85, 66, 23, 39, 21, 46, 66, 74</v>
      </c>
      <c r="E26" s="29" cm="1">
        <f t="array" aca="1" ref="E26" ca="1">AverageStipeDiameter(D26)</f>
        <v>54.4</v>
      </c>
      <c r="F26" s="29">
        <v>31</v>
      </c>
      <c r="G26" s="7"/>
      <c r="H26" s="7"/>
      <c r="I26" s="43"/>
      <c r="J26" s="106" cm="1">
        <f t="array" ref="J26">AverageStipeDiameter(I26)</f>
        <v>0</v>
      </c>
    </row>
    <row r="27" spans="1:10" x14ac:dyDescent="0.35">
      <c r="A27" s="27">
        <v>12</v>
      </c>
      <c r="B27" s="7">
        <v>1</v>
      </c>
      <c r="C27" s="7">
        <v>19</v>
      </c>
      <c r="D27" s="3" t="str">
        <f t="shared" ca="1" si="0"/>
        <v>41, 63, 51, 64, 28, 49, 41, 79, 22, 77</v>
      </c>
      <c r="E27" s="29" cm="1">
        <f t="array" aca="1" ref="E27" ca="1">AverageStipeDiameter(D27)</f>
        <v>51.5</v>
      </c>
      <c r="F27" s="29">
        <v>32</v>
      </c>
      <c r="G27" s="7"/>
      <c r="H27" s="7"/>
      <c r="I27" s="43"/>
      <c r="J27" s="106" cm="1">
        <f t="array" ref="J27">AverageStipeDiameter(I27)</f>
        <v>0</v>
      </c>
    </row>
    <row r="28" spans="1:10" x14ac:dyDescent="0.35">
      <c r="A28" s="27">
        <v>13</v>
      </c>
      <c r="B28" s="7">
        <v>0.5</v>
      </c>
      <c r="C28" s="7">
        <v>24</v>
      </c>
      <c r="D28" s="3" t="str">
        <f t="shared" ca="1" si="0"/>
        <v>62, 41, 60, 46, 79, 27, 53, 58, 23, 53</v>
      </c>
      <c r="E28" s="29" cm="1">
        <f t="array" aca="1" ref="E28" ca="1">AverageStipeDiameter(D28)</f>
        <v>50.2</v>
      </c>
      <c r="F28" s="29">
        <v>33</v>
      </c>
      <c r="G28" s="7"/>
      <c r="H28" s="7"/>
      <c r="I28" s="43"/>
      <c r="J28" s="106" cm="1">
        <f t="array" ref="J28">AverageStipeDiameter(I28)</f>
        <v>0</v>
      </c>
    </row>
    <row r="29" spans="1:10" x14ac:dyDescent="0.35">
      <c r="A29" s="27">
        <v>14</v>
      </c>
      <c r="B29" s="7">
        <v>2</v>
      </c>
      <c r="C29" s="7">
        <v>22</v>
      </c>
      <c r="D29" s="3" t="str">
        <f t="shared" ca="1" si="0"/>
        <v>85, 22, 58, 61, 40, 79, 32, 80, 59, 65</v>
      </c>
      <c r="E29" s="29" cm="1">
        <f t="array" aca="1" ref="E29" ca="1">AverageStipeDiameter(D29)</f>
        <v>58.1</v>
      </c>
      <c r="F29" s="29">
        <v>34</v>
      </c>
      <c r="G29" s="7"/>
      <c r="H29" s="7"/>
      <c r="I29" s="43"/>
      <c r="J29" s="106" cm="1">
        <f t="array" ref="J29">AverageStipeDiameter(I29)</f>
        <v>0</v>
      </c>
    </row>
    <row r="30" spans="1:10" x14ac:dyDescent="0.35">
      <c r="A30" s="27">
        <v>15</v>
      </c>
      <c r="B30" s="7">
        <v>2</v>
      </c>
      <c r="C30" s="7">
        <v>22</v>
      </c>
      <c r="D30" s="3" t="str">
        <f t="shared" ca="1" si="0"/>
        <v>79, 24, 73, 70, 45, 70, 29, 56, 60, 55</v>
      </c>
      <c r="E30" s="29" cm="1">
        <f t="array" aca="1" ref="E30" ca="1">AverageStipeDiameter(D30)</f>
        <v>56.1</v>
      </c>
      <c r="F30" s="29">
        <v>35</v>
      </c>
      <c r="G30" s="7"/>
      <c r="H30" s="7"/>
      <c r="I30" s="43"/>
      <c r="J30" s="106" cm="1">
        <f t="array" ref="J30">AverageStipeDiameter(I30)</f>
        <v>0</v>
      </c>
    </row>
    <row r="31" spans="1:10" x14ac:dyDescent="0.35">
      <c r="A31" s="27">
        <v>16</v>
      </c>
      <c r="B31" s="7">
        <v>3</v>
      </c>
      <c r="C31" s="7">
        <v>7</v>
      </c>
      <c r="D31" s="3" t="str">
        <f t="shared" ca="1" si="0"/>
        <v>34, 38, 54, 85, 52, 25, 75, 65, 61, 23</v>
      </c>
      <c r="E31" s="29" cm="1">
        <f t="array" aca="1" ref="E31" ca="1">AverageStipeDiameter(D31)</f>
        <v>51.2</v>
      </c>
      <c r="F31" s="29">
        <v>36</v>
      </c>
      <c r="G31" s="7"/>
      <c r="H31" s="7"/>
      <c r="I31" s="43"/>
      <c r="J31" s="106" cm="1">
        <f t="array" ref="J31">AverageStipeDiameter(I31)</f>
        <v>0</v>
      </c>
    </row>
    <row r="32" spans="1:10" x14ac:dyDescent="0.35">
      <c r="A32" s="27">
        <v>17</v>
      </c>
      <c r="B32" s="7">
        <v>5</v>
      </c>
      <c r="C32" s="7">
        <v>9</v>
      </c>
      <c r="D32" s="3" t="str">
        <f t="shared" ca="1" si="0"/>
        <v>37, 43, 71, 24, 29, 34, 28, 28, 40, 59</v>
      </c>
      <c r="E32" s="29" cm="1">
        <f t="array" aca="1" ref="E32" ca="1">AverageStipeDiameter(D32)</f>
        <v>39.299999999999997</v>
      </c>
      <c r="F32" s="29">
        <v>37</v>
      </c>
      <c r="G32" s="7"/>
      <c r="H32" s="7"/>
      <c r="I32" s="43"/>
      <c r="J32" s="106" cm="1">
        <f t="array" ref="J32">AverageStipeDiameter(I32)</f>
        <v>0</v>
      </c>
    </row>
    <row r="33" spans="1:10" x14ac:dyDescent="0.35">
      <c r="A33" s="27">
        <v>18</v>
      </c>
      <c r="B33" s="7">
        <v>3</v>
      </c>
      <c r="C33" s="7">
        <v>2</v>
      </c>
      <c r="D33" s="3" t="str">
        <f t="shared" ca="1" si="0"/>
        <v>24, 29, 36, 56, 28, 73, 63, 85, 44, 21</v>
      </c>
      <c r="E33" s="29" cm="1">
        <f t="array" aca="1" ref="E33" ca="1">AverageStipeDiameter(D33)</f>
        <v>45.9</v>
      </c>
      <c r="F33" s="29">
        <v>38</v>
      </c>
      <c r="G33" s="7"/>
      <c r="H33" s="7"/>
      <c r="I33" s="43"/>
      <c r="J33" s="106" cm="1">
        <f t="array" ref="J33">AverageStipeDiameter(I33)</f>
        <v>0</v>
      </c>
    </row>
    <row r="34" spans="1:10" x14ac:dyDescent="0.35">
      <c r="A34" s="27">
        <v>19</v>
      </c>
      <c r="B34" s="7">
        <v>2</v>
      </c>
      <c r="C34" s="7">
        <v>27</v>
      </c>
      <c r="D34" s="3" t="str">
        <f t="shared" ca="1" si="0"/>
        <v>62, 77, 63, 71, 82, 48, 20, 56, 56, 54</v>
      </c>
      <c r="E34" s="29" cm="1">
        <f t="array" aca="1" ref="E34" ca="1">AverageStipeDiameter(D34)</f>
        <v>58.9</v>
      </c>
      <c r="F34" s="29">
        <v>39</v>
      </c>
      <c r="G34" s="7"/>
      <c r="H34" s="7"/>
      <c r="I34" s="43"/>
      <c r="J34" s="106" cm="1">
        <f t="array" ref="J34">AverageStipeDiameter(I34)</f>
        <v>0</v>
      </c>
    </row>
    <row r="35" spans="1:10" ht="15" thickBot="1" x14ac:dyDescent="0.4">
      <c r="A35" s="28">
        <v>20</v>
      </c>
      <c r="B35" s="8">
        <v>1</v>
      </c>
      <c r="C35" s="8">
        <v>29</v>
      </c>
      <c r="D35" s="5" t="str">
        <f t="shared" ca="1" si="0"/>
        <v>46, 72, 56, 81, 79, 43, 35, 58, 38, 53</v>
      </c>
      <c r="E35" s="30" cm="1">
        <f t="array" aca="1" ref="E35" ca="1">AverageStipeDiameter(D35)</f>
        <v>56.1</v>
      </c>
      <c r="F35" s="30">
        <v>40</v>
      </c>
      <c r="G35" s="8"/>
      <c r="H35" s="8"/>
      <c r="I35" s="44"/>
      <c r="J35" s="94" cm="1">
        <f t="array" ref="J35">AverageStipeDiameter(I35)</f>
        <v>0</v>
      </c>
    </row>
    <row r="36" spans="1:10" ht="17" thickBot="1" x14ac:dyDescent="0.4">
      <c r="A36" s="188" t="s">
        <v>133</v>
      </c>
      <c r="B36" s="189"/>
      <c r="C36" s="80">
        <v>850</v>
      </c>
    </row>
    <row r="37" spans="1:10" ht="17" thickBot="1" x14ac:dyDescent="0.4">
      <c r="A37" s="186" t="s">
        <v>134</v>
      </c>
      <c r="B37" s="187"/>
      <c r="C37" s="81">
        <v>1000</v>
      </c>
    </row>
    <row r="38" spans="1:10" ht="15" thickBot="1" x14ac:dyDescent="0.4">
      <c r="A38" s="182" t="s">
        <v>135</v>
      </c>
      <c r="B38" s="183"/>
      <c r="C38" s="78" cm="1">
        <f t="array" ref="C38">Bryozoans(B16:B35,G16:G35)</f>
        <v>34.42307692307692</v>
      </c>
    </row>
    <row r="39" spans="1:10" ht="15" thickBot="1" x14ac:dyDescent="0.4">
      <c r="A39" s="184" t="s">
        <v>136</v>
      </c>
      <c r="B39" s="185"/>
      <c r="C39" s="79" cm="1">
        <f t="array" aca="1" ref="C39" ca="1">AverageCSVcols(D16:D35,I16:I35)</f>
        <v>51.553846153846152</v>
      </c>
    </row>
    <row r="40" spans="1:10" ht="15" thickBot="1" x14ac:dyDescent="0.4">
      <c r="A40" s="186" t="s">
        <v>137</v>
      </c>
      <c r="B40" s="187"/>
      <c r="C40" s="77">
        <f>AVERAGE(C16:C35,H16:H35)</f>
        <v>12.692307692307692</v>
      </c>
    </row>
  </sheetData>
  <mergeCells count="24">
    <mergeCell ref="A38:B38"/>
    <mergeCell ref="A39:B39"/>
    <mergeCell ref="A40:B40"/>
    <mergeCell ref="A5:B5"/>
    <mergeCell ref="C5:D5"/>
    <mergeCell ref="A37:B37"/>
    <mergeCell ref="A36:B36"/>
    <mergeCell ref="C4:D4"/>
    <mergeCell ref="A1:J1"/>
    <mergeCell ref="A2:B2"/>
    <mergeCell ref="C2:D2"/>
    <mergeCell ref="A3:B3"/>
    <mergeCell ref="C3:D3"/>
    <mergeCell ref="A4:B4"/>
    <mergeCell ref="I11:J11"/>
    <mergeCell ref="I12:J12"/>
    <mergeCell ref="H13:J13"/>
    <mergeCell ref="A14:J14"/>
    <mergeCell ref="A6:B6"/>
    <mergeCell ref="C6:D6"/>
    <mergeCell ref="A7:F7"/>
    <mergeCell ref="G8:J8"/>
    <mergeCell ref="I9:J9"/>
    <mergeCell ref="I10:J10"/>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7C795E-EE57-4C66-B1C4-E3C55EC65471}">
  <sheetPr codeName="Sheet14">
    <tabColor theme="8" tint="0.79998168889431442"/>
  </sheetPr>
  <dimension ref="A1:J40"/>
  <sheetViews>
    <sheetView zoomScale="80" zoomScaleNormal="80" workbookViewId="0">
      <selection activeCell="C3" sqref="C3:D3"/>
    </sheetView>
  </sheetViews>
  <sheetFormatPr defaultRowHeight="14.5" x14ac:dyDescent="0.35"/>
  <cols>
    <col min="1" max="1" width="12.54296875" customWidth="1"/>
    <col min="2" max="2" width="12.1796875" bestFit="1" customWidth="1"/>
    <col min="3" max="3" width="10.1796875" customWidth="1"/>
    <col min="4" max="4" width="27" customWidth="1"/>
    <col min="5" max="5" width="21.1796875" customWidth="1"/>
    <col min="6" max="6" width="9.1796875" customWidth="1"/>
    <col min="7" max="7" width="20.81640625" customWidth="1"/>
    <col min="8" max="8" width="12.1796875" bestFit="1" customWidth="1"/>
    <col min="9" max="9" width="17.81640625" bestFit="1" customWidth="1"/>
    <col min="10" max="10" width="10.81640625" customWidth="1"/>
  </cols>
  <sheetData>
    <row r="1" spans="1:10" ht="15" thickBot="1" x14ac:dyDescent="0.4">
      <c r="A1" s="191" t="s">
        <v>66</v>
      </c>
      <c r="B1" s="192"/>
      <c r="C1" s="157"/>
      <c r="D1" s="157"/>
      <c r="E1" s="192"/>
      <c r="F1" s="192"/>
      <c r="G1" s="192"/>
      <c r="H1" s="192"/>
      <c r="I1" s="192"/>
      <c r="J1" s="193"/>
    </row>
    <row r="2" spans="1:10" x14ac:dyDescent="0.35">
      <c r="A2" s="217" t="s">
        <v>67</v>
      </c>
      <c r="B2" s="165"/>
      <c r="C2" s="170" t="s">
        <v>68</v>
      </c>
      <c r="D2" s="196"/>
      <c r="E2" s="39" t="s">
        <v>69</v>
      </c>
      <c r="F2" s="9"/>
      <c r="G2" s="18" t="s">
        <v>70</v>
      </c>
      <c r="H2" s="17"/>
      <c r="I2" s="19" t="s">
        <v>71</v>
      </c>
      <c r="J2" s="16"/>
    </row>
    <row r="3" spans="1:10" x14ac:dyDescent="0.35">
      <c r="A3" s="177" t="s">
        <v>72</v>
      </c>
      <c r="B3" s="167"/>
      <c r="C3" s="151" t="s">
        <v>174</v>
      </c>
      <c r="D3" s="152"/>
      <c r="E3" s="40" t="s">
        <v>73</v>
      </c>
      <c r="F3" s="12"/>
      <c r="G3" s="20" t="s">
        <v>74</v>
      </c>
      <c r="H3" s="20" t="s">
        <v>75</v>
      </c>
      <c r="I3" s="20" t="s">
        <v>76</v>
      </c>
      <c r="J3" s="22" t="s">
        <v>77</v>
      </c>
    </row>
    <row r="4" spans="1:10" x14ac:dyDescent="0.35">
      <c r="A4" s="177" t="s">
        <v>141</v>
      </c>
      <c r="B4" s="167"/>
      <c r="C4" s="151">
        <v>2022</v>
      </c>
      <c r="D4" s="152"/>
      <c r="E4" s="40"/>
      <c r="F4" s="12"/>
      <c r="G4" s="20"/>
      <c r="H4" s="20"/>
      <c r="I4" s="20"/>
      <c r="J4" s="22"/>
    </row>
    <row r="5" spans="1:10" x14ac:dyDescent="0.35">
      <c r="A5" s="177" t="s">
        <v>79</v>
      </c>
      <c r="B5" s="167"/>
      <c r="C5" s="153">
        <v>44770</v>
      </c>
      <c r="D5" s="152"/>
      <c r="E5" s="141" t="s">
        <v>80</v>
      </c>
      <c r="F5" s="10"/>
      <c r="G5" s="20" t="s">
        <v>81</v>
      </c>
      <c r="H5" s="3"/>
      <c r="I5" s="3"/>
      <c r="J5" s="4"/>
    </row>
    <row r="6" spans="1:10" ht="15" thickBot="1" x14ac:dyDescent="0.4">
      <c r="A6" s="218" t="s">
        <v>82</v>
      </c>
      <c r="B6" s="169"/>
      <c r="C6" s="154" t="s">
        <v>83</v>
      </c>
      <c r="D6" s="155"/>
      <c r="E6" s="144"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5</v>
      </c>
      <c r="C16" s="7">
        <v>10</v>
      </c>
      <c r="D16" t="str">
        <f ca="1">_xlfn.TEXTJOIN(", ", TRUE, RANDBETWEEN(20, 85), RANDBETWEEN(20, 85), RANDBETWEEN(20, 85), RANDBETWEEN(20, 85), RANDBETWEEN(20, 85), RANDBETWEEN(20, 85), RANDBETWEEN(20, 85), RANDBETWEEN(20, 85), RANDBETWEEN(20, 85), RANDBETWEEN(20, 85))</f>
        <v>64, 50, 39, 30, 81, 67, 24, 64, 74, 79</v>
      </c>
      <c r="E16" s="54" cm="1">
        <f t="array" aca="1" ref="E16" ca="1">AverageStipeDiameter(D16)</f>
        <v>57.2</v>
      </c>
      <c r="F16" s="29">
        <v>21</v>
      </c>
      <c r="G16" s="7"/>
      <c r="H16" s="7"/>
      <c r="J16" s="92" cm="1">
        <f t="array" ref="J16">AverageStipeDiameter(I16)</f>
        <v>0</v>
      </c>
    </row>
    <row r="17" spans="1:10" x14ac:dyDescent="0.35">
      <c r="A17" s="27">
        <v>2</v>
      </c>
      <c r="B17" s="7">
        <v>5</v>
      </c>
      <c r="C17" s="7">
        <v>17</v>
      </c>
      <c r="D17" t="str">
        <f t="shared" ref="D17:D28" ca="1" si="0">_xlfn.TEXTJOIN(", ", TRUE, RANDBETWEEN(20, 85), RANDBETWEEN(20, 85), RANDBETWEEN(20, 85), RANDBETWEEN(20, 85), RANDBETWEEN(20, 85), RANDBETWEEN(20, 85), RANDBETWEEN(20, 85), RANDBETWEEN(20, 85), RANDBETWEEN(20, 85), RANDBETWEEN(20, 85))</f>
        <v>42, 41, 51, 48, 35, 36, 46, 63, 42, 42</v>
      </c>
      <c r="E17" s="54" cm="1">
        <f t="array" aca="1" ref="E17" ca="1">AverageStipeDiameter(D17)</f>
        <v>44.6</v>
      </c>
      <c r="F17" s="29">
        <v>22</v>
      </c>
      <c r="G17" s="7"/>
      <c r="H17" s="7"/>
      <c r="I17" s="43"/>
      <c r="J17" s="92" cm="1">
        <f t="array" ref="J17">AverageStipeDiameter(I17)</f>
        <v>0</v>
      </c>
    </row>
    <row r="18" spans="1:10" x14ac:dyDescent="0.35">
      <c r="A18" s="27">
        <v>3</v>
      </c>
      <c r="B18" s="7">
        <v>5</v>
      </c>
      <c r="C18" s="7">
        <v>21</v>
      </c>
      <c r="D18" t="str">
        <f t="shared" ca="1" si="0"/>
        <v>21, 80, 43, 49, 69, 25, 62, 24, 73, 73</v>
      </c>
      <c r="E18" s="54" cm="1">
        <f t="array" aca="1" ref="E18" ca="1">AverageStipeDiameter(D18)</f>
        <v>51.9</v>
      </c>
      <c r="F18" s="29">
        <v>23</v>
      </c>
      <c r="G18" s="7"/>
      <c r="H18" s="7"/>
      <c r="I18" s="43"/>
      <c r="J18" s="92" cm="1">
        <f t="array" ref="J18">AverageStipeDiameter(I18)</f>
        <v>0</v>
      </c>
    </row>
    <row r="19" spans="1:10" x14ac:dyDescent="0.35">
      <c r="A19" s="27">
        <v>4</v>
      </c>
      <c r="B19" s="7">
        <v>5</v>
      </c>
      <c r="C19" s="7">
        <v>23</v>
      </c>
      <c r="D19" t="str">
        <f t="shared" ca="1" si="0"/>
        <v>74, 28, 37, 32, 63, 61, 55, 30, 66, 38</v>
      </c>
      <c r="E19" s="54" cm="1">
        <f t="array" aca="1" ref="E19" ca="1">AverageStipeDiameter(D19)</f>
        <v>48.4</v>
      </c>
      <c r="F19" s="29">
        <v>24</v>
      </c>
      <c r="G19" s="7"/>
      <c r="H19" s="7"/>
      <c r="I19" s="43"/>
      <c r="J19" s="92" cm="1">
        <f t="array" ref="J19">AverageStipeDiameter(I19)</f>
        <v>0</v>
      </c>
    </row>
    <row r="20" spans="1:10" x14ac:dyDescent="0.35">
      <c r="A20" s="27">
        <v>5</v>
      </c>
      <c r="B20" s="7">
        <v>5</v>
      </c>
      <c r="C20" s="7">
        <v>5</v>
      </c>
      <c r="D20" t="str">
        <f t="shared" ca="1" si="0"/>
        <v>78, 40, 61, 24, 45, 56, 54, 28, 45, 40</v>
      </c>
      <c r="E20" s="54" cm="1">
        <f t="array" aca="1" ref="E20" ca="1">AverageStipeDiameter(D20)</f>
        <v>47.1</v>
      </c>
      <c r="F20" s="29">
        <v>25</v>
      </c>
      <c r="G20" s="7"/>
      <c r="H20" s="7"/>
      <c r="I20" s="43"/>
      <c r="J20" s="92" cm="1">
        <f t="array" ref="J20">AverageStipeDiameter(I20)</f>
        <v>0</v>
      </c>
    </row>
    <row r="21" spans="1:10" x14ac:dyDescent="0.35">
      <c r="A21" s="27">
        <v>6</v>
      </c>
      <c r="B21" s="7">
        <v>5</v>
      </c>
      <c r="C21" s="7">
        <v>7</v>
      </c>
      <c r="D21" t="str">
        <f t="shared" ca="1" si="0"/>
        <v>31, 53, 41, 73, 71, 50, 31, 68, 72, 27</v>
      </c>
      <c r="E21" s="54" cm="1">
        <f t="array" aca="1" ref="E21" ca="1">AverageStipeDiameter(D21)</f>
        <v>51.7</v>
      </c>
      <c r="F21" s="29">
        <v>26</v>
      </c>
      <c r="G21" s="7"/>
      <c r="H21" s="7"/>
      <c r="I21" s="43"/>
      <c r="J21" s="92" cm="1">
        <f t="array" ref="J21">AverageStipeDiameter(I21)</f>
        <v>0</v>
      </c>
    </row>
    <row r="22" spans="1:10" x14ac:dyDescent="0.35">
      <c r="A22" s="27">
        <v>7</v>
      </c>
      <c r="B22" s="7">
        <v>5</v>
      </c>
      <c r="C22" s="7">
        <v>28</v>
      </c>
      <c r="D22" t="str">
        <f t="shared" ca="1" si="0"/>
        <v>69, 81, 54, 81, 81, 77, 35, 67, 39, 68</v>
      </c>
      <c r="E22" s="54" cm="1">
        <f t="array" aca="1" ref="E22" ca="1">AverageStipeDiameter(D22)</f>
        <v>65.2</v>
      </c>
      <c r="F22" s="29">
        <v>27</v>
      </c>
      <c r="G22" s="7"/>
      <c r="H22" s="7"/>
      <c r="I22" s="43"/>
      <c r="J22" s="92" cm="1">
        <f t="array" ref="J22">AverageStipeDiameter(I22)</f>
        <v>0</v>
      </c>
    </row>
    <row r="23" spans="1:10" x14ac:dyDescent="0.35">
      <c r="A23" s="27">
        <v>8</v>
      </c>
      <c r="B23" s="7">
        <v>4</v>
      </c>
      <c r="C23" s="7">
        <v>15</v>
      </c>
      <c r="D23" t="str">
        <f t="shared" ca="1" si="0"/>
        <v>37, 20, 20, 54, 25, 81, 78, 85, 53, 80</v>
      </c>
      <c r="E23" s="54" cm="1">
        <f t="array" aca="1" ref="E23" ca="1">AverageStipeDiameter(D23)</f>
        <v>53.3</v>
      </c>
      <c r="F23" s="29">
        <v>28</v>
      </c>
      <c r="G23" s="7"/>
      <c r="H23" s="7"/>
      <c r="I23" s="43"/>
      <c r="J23" s="92" cm="1">
        <f t="array" ref="J23">AverageStipeDiameter(I23)</f>
        <v>0</v>
      </c>
    </row>
    <row r="24" spans="1:10" x14ac:dyDescent="0.35">
      <c r="A24" s="27">
        <v>9</v>
      </c>
      <c r="B24" s="7">
        <v>5</v>
      </c>
      <c r="C24" s="7">
        <v>27</v>
      </c>
      <c r="D24" t="str">
        <f t="shared" ca="1" si="0"/>
        <v>67, 33, 67, 81, 73, 45, 68, 27, 72, 68</v>
      </c>
      <c r="E24" s="54" cm="1">
        <f t="array" aca="1" ref="E24" ca="1">AverageStipeDiameter(D24)</f>
        <v>60.1</v>
      </c>
      <c r="F24" s="29">
        <v>29</v>
      </c>
      <c r="G24" s="7"/>
      <c r="H24" s="7"/>
      <c r="I24" s="43"/>
      <c r="J24" s="92" cm="1">
        <f t="array" ref="J24">AverageStipeDiameter(I24)</f>
        <v>0</v>
      </c>
    </row>
    <row r="25" spans="1:10" x14ac:dyDescent="0.35">
      <c r="A25" s="27">
        <v>10</v>
      </c>
      <c r="B25" s="7">
        <v>5</v>
      </c>
      <c r="C25" s="7">
        <v>14</v>
      </c>
      <c r="D25" t="str">
        <f t="shared" ca="1" si="0"/>
        <v>55, 36, 80, 33, 56, 69, 64, 69, 68, 81</v>
      </c>
      <c r="E25" s="54" cm="1">
        <f t="array" aca="1" ref="E25" ca="1">AverageStipeDiameter(D25)</f>
        <v>61.1</v>
      </c>
      <c r="F25" s="29">
        <v>30</v>
      </c>
      <c r="G25" s="7"/>
      <c r="H25" s="7"/>
      <c r="I25" s="43"/>
      <c r="J25" s="92" cm="1">
        <f t="array" ref="J25">AverageStipeDiameter(I25)</f>
        <v>0</v>
      </c>
    </row>
    <row r="26" spans="1:10" x14ac:dyDescent="0.35">
      <c r="A26" s="27">
        <v>11</v>
      </c>
      <c r="B26" s="7">
        <v>5</v>
      </c>
      <c r="C26" s="7">
        <v>25</v>
      </c>
      <c r="D26" t="str">
        <f t="shared" ca="1" si="0"/>
        <v>60, 70, 21, 31, 45, 20, 50, 25, 36, 60</v>
      </c>
      <c r="E26" s="54" cm="1">
        <f t="array" aca="1" ref="E26" ca="1">AverageStipeDiameter(D26)</f>
        <v>41.8</v>
      </c>
      <c r="F26" s="29">
        <v>31</v>
      </c>
      <c r="G26" s="7"/>
      <c r="H26" s="7"/>
      <c r="I26" s="43"/>
      <c r="J26" s="92" cm="1">
        <f t="array" ref="J26">AverageStipeDiameter(I26)</f>
        <v>0</v>
      </c>
    </row>
    <row r="27" spans="1:10" x14ac:dyDescent="0.35">
      <c r="A27" s="27">
        <v>12</v>
      </c>
      <c r="B27" s="7">
        <v>3</v>
      </c>
      <c r="C27" s="7">
        <v>26</v>
      </c>
      <c r="D27" t="str">
        <f t="shared" ca="1" si="0"/>
        <v>68, 38, 60, 56, 40, 41, 40, 35, 69, 57</v>
      </c>
      <c r="E27" s="54" cm="1">
        <f t="array" aca="1" ref="E27" ca="1">AverageStipeDiameter(D27)</f>
        <v>50.4</v>
      </c>
      <c r="F27" s="29">
        <v>32</v>
      </c>
      <c r="G27" s="7"/>
      <c r="H27" s="7"/>
      <c r="I27" s="43"/>
      <c r="J27" s="92" cm="1">
        <f t="array" ref="J27">AverageStipeDiameter(I27)</f>
        <v>0</v>
      </c>
    </row>
    <row r="28" spans="1:10" x14ac:dyDescent="0.35">
      <c r="A28" s="27">
        <v>13</v>
      </c>
      <c r="B28" s="7">
        <v>4</v>
      </c>
      <c r="C28" s="7">
        <v>14</v>
      </c>
      <c r="D28" t="str">
        <f t="shared" ca="1" si="0"/>
        <v>48, 64, 47, 82, 69, 63, 41, 21, 48, 63</v>
      </c>
      <c r="E28" s="54" cm="1">
        <f t="array" aca="1" ref="E28" ca="1">AverageStipeDiameter(D28)</f>
        <v>54.6</v>
      </c>
      <c r="F28" s="29">
        <v>33</v>
      </c>
      <c r="G28" s="7"/>
      <c r="H28" s="7"/>
      <c r="I28" s="43"/>
      <c r="J28" s="92" cm="1">
        <f t="array" ref="J28">AverageStipeDiameter(I28)</f>
        <v>0</v>
      </c>
    </row>
    <row r="29" spans="1:10" x14ac:dyDescent="0.35">
      <c r="A29" s="27">
        <v>14</v>
      </c>
      <c r="B29" s="7"/>
      <c r="C29" s="7"/>
      <c r="D29" s="142"/>
      <c r="E29" s="54" cm="1">
        <f t="array" ref="E29">AverageStipeDiameter(D29)</f>
        <v>0</v>
      </c>
      <c r="F29" s="29">
        <v>34</v>
      </c>
      <c r="G29" s="7"/>
      <c r="H29" s="7"/>
      <c r="I29" s="43"/>
      <c r="J29" s="92" cm="1">
        <f t="array" ref="J29">AverageStipeDiameter(I29)</f>
        <v>0</v>
      </c>
    </row>
    <row r="30" spans="1:10" x14ac:dyDescent="0.35">
      <c r="A30" s="27">
        <v>15</v>
      </c>
      <c r="B30" s="7"/>
      <c r="C30" s="7"/>
      <c r="D30" s="142"/>
      <c r="E30" s="54" cm="1">
        <f t="array" ref="E30">AverageStipeDiameter(D30)</f>
        <v>0</v>
      </c>
      <c r="F30" s="29">
        <v>35</v>
      </c>
      <c r="G30" s="7"/>
      <c r="H30" s="7"/>
      <c r="I30" s="43"/>
      <c r="J30" s="92" cm="1">
        <f t="array" ref="J30">AverageStipeDiameter(I30)</f>
        <v>0</v>
      </c>
    </row>
    <row r="31" spans="1:10" x14ac:dyDescent="0.35">
      <c r="A31" s="27">
        <v>16</v>
      </c>
      <c r="B31" s="7"/>
      <c r="C31" s="7"/>
      <c r="D31" s="142"/>
      <c r="E31" s="54" cm="1">
        <f t="array" ref="E31">AverageStipeDiameter(D31)</f>
        <v>0</v>
      </c>
      <c r="F31" s="29">
        <v>36</v>
      </c>
      <c r="G31" s="7"/>
      <c r="H31" s="7"/>
      <c r="I31" s="43"/>
      <c r="J31" s="92" cm="1">
        <f t="array" ref="J31">AverageStipeDiameter(I31)</f>
        <v>0</v>
      </c>
    </row>
    <row r="32" spans="1:10" x14ac:dyDescent="0.35">
      <c r="A32" s="27">
        <v>17</v>
      </c>
      <c r="B32" s="7"/>
      <c r="C32" s="7"/>
      <c r="D32" s="142"/>
      <c r="E32" s="54" cm="1">
        <f t="array" ref="E32">AverageStipeDiameter(D32)</f>
        <v>0</v>
      </c>
      <c r="F32" s="29">
        <v>37</v>
      </c>
      <c r="G32" s="7"/>
      <c r="H32" s="7"/>
      <c r="I32" s="43"/>
      <c r="J32" s="92" cm="1">
        <f t="array" ref="J32">AverageStipeDiameter(I32)</f>
        <v>0</v>
      </c>
    </row>
    <row r="33" spans="1:10" x14ac:dyDescent="0.35">
      <c r="A33" s="27">
        <v>18</v>
      </c>
      <c r="B33" s="7"/>
      <c r="C33" s="7"/>
      <c r="D33" s="142"/>
      <c r="E33" s="54" cm="1">
        <f t="array" ref="E33">AverageStipeDiameter(D33)</f>
        <v>0</v>
      </c>
      <c r="F33" s="29">
        <v>38</v>
      </c>
      <c r="G33" s="7"/>
      <c r="H33" s="7"/>
      <c r="I33" s="43"/>
      <c r="J33" s="92" cm="1">
        <f t="array" ref="J33">AverageStipeDiameter(I33)</f>
        <v>0</v>
      </c>
    </row>
    <row r="34" spans="1:10" x14ac:dyDescent="0.35">
      <c r="A34" s="27">
        <v>19</v>
      </c>
      <c r="B34" s="7"/>
      <c r="C34" s="7"/>
      <c r="D34" s="142"/>
      <c r="E34" s="54" cm="1">
        <f t="array" ref="E34">AverageStipeDiameter(D34)</f>
        <v>0</v>
      </c>
      <c r="F34" s="29">
        <v>39</v>
      </c>
      <c r="G34" s="7"/>
      <c r="H34" s="7"/>
      <c r="I34" s="43"/>
      <c r="J34" s="92" cm="1">
        <f t="array" ref="J34">AverageStipeDiameter(I34)</f>
        <v>0</v>
      </c>
    </row>
    <row r="35" spans="1:10" ht="15" thickBot="1" x14ac:dyDescent="0.4">
      <c r="A35" s="28">
        <v>20</v>
      </c>
      <c r="B35" s="8"/>
      <c r="C35" s="8"/>
      <c r="D35" s="51"/>
      <c r="E35" s="93" cm="1">
        <f t="array" ref="E35">AverageStipeDiameter(D35)</f>
        <v>0</v>
      </c>
      <c r="F35" s="30">
        <v>40</v>
      </c>
      <c r="G35" s="8"/>
      <c r="H35" s="8"/>
      <c r="I35" s="44"/>
      <c r="J35" s="94" cm="1">
        <f t="array" ref="J35">AverageStipeDiameter(I35)</f>
        <v>0</v>
      </c>
    </row>
    <row r="36" spans="1:10" ht="17" thickBot="1" x14ac:dyDescent="0.4">
      <c r="A36" s="188" t="s">
        <v>133</v>
      </c>
      <c r="B36" s="189"/>
      <c r="C36" s="80">
        <v>1500</v>
      </c>
    </row>
    <row r="37" spans="1:10" ht="17" thickBot="1" x14ac:dyDescent="0.4">
      <c r="A37" s="186" t="s">
        <v>134</v>
      </c>
      <c r="B37" s="187"/>
      <c r="C37" s="81">
        <v>1200</v>
      </c>
    </row>
    <row r="38" spans="1:10" ht="15" thickBot="1" x14ac:dyDescent="0.4">
      <c r="A38" s="182" t="s">
        <v>135</v>
      </c>
      <c r="B38" s="183"/>
      <c r="C38" s="78" cm="1">
        <f t="array" ref="C38">Bryozoans(B16:B35,G16:G35)</f>
        <v>83.84615384615384</v>
      </c>
    </row>
    <row r="39" spans="1:10" ht="15" thickBot="1" x14ac:dyDescent="0.4">
      <c r="A39" s="184" t="s">
        <v>136</v>
      </c>
      <c r="B39" s="185"/>
      <c r="C39" s="79" cm="1">
        <f t="array" aca="1" ref="C39" ca="1">AverageCSVcols(D16:D35,I16:I35)</f>
        <v>52.876923076923077</v>
      </c>
    </row>
    <row r="40" spans="1:10" ht="15" thickBot="1" x14ac:dyDescent="0.4">
      <c r="A40" s="186" t="s">
        <v>137</v>
      </c>
      <c r="B40" s="187"/>
      <c r="C40" s="77">
        <f>AVERAGE(C16:C35,H16:H35)</f>
        <v>17.846153846153847</v>
      </c>
    </row>
  </sheetData>
  <mergeCells count="24">
    <mergeCell ref="A38:B38"/>
    <mergeCell ref="A39:B39"/>
    <mergeCell ref="A40:B40"/>
    <mergeCell ref="A1:J1"/>
    <mergeCell ref="A2:B2"/>
    <mergeCell ref="A3:B3"/>
    <mergeCell ref="C3:D3"/>
    <mergeCell ref="A5:B5"/>
    <mergeCell ref="C5:D5"/>
    <mergeCell ref="A4:B4"/>
    <mergeCell ref="C4:D4"/>
    <mergeCell ref="C2:D2"/>
    <mergeCell ref="A37:B37"/>
    <mergeCell ref="A6:B6"/>
    <mergeCell ref="C6:D6"/>
    <mergeCell ref="A7:F7"/>
    <mergeCell ref="H13:J13"/>
    <mergeCell ref="A14:J14"/>
    <mergeCell ref="A36:B36"/>
    <mergeCell ref="G8:J8"/>
    <mergeCell ref="I9:J9"/>
    <mergeCell ref="I10:J10"/>
    <mergeCell ref="I11:J11"/>
    <mergeCell ref="I12:J12"/>
  </mergeCell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02590C-BC74-4B20-87FB-A0E7D123CD7B}">
  <sheetPr codeName="Sheet24">
    <tabColor theme="8" tint="0.39997558519241921"/>
  </sheetPr>
  <dimension ref="A1:J40"/>
  <sheetViews>
    <sheetView zoomScale="80" zoomScaleNormal="80" workbookViewId="0">
      <selection activeCell="C3" sqref="C3:D3"/>
    </sheetView>
  </sheetViews>
  <sheetFormatPr defaultRowHeight="14.5" x14ac:dyDescent="0.35"/>
  <cols>
    <col min="1" max="1" width="8.81640625" customWidth="1"/>
    <col min="2" max="2" width="12.1796875" bestFit="1" customWidth="1"/>
    <col min="3" max="3" width="10.1796875" customWidth="1"/>
    <col min="4" max="4" width="27" customWidth="1"/>
    <col min="5" max="5" width="21.1796875" customWidth="1"/>
    <col min="6" max="6" width="9.1796875" customWidth="1"/>
    <col min="7" max="7" width="20.81640625" customWidth="1"/>
    <col min="8" max="8" width="12.1796875" bestFit="1" customWidth="1"/>
    <col min="9" max="9" width="17.81640625" bestFit="1" customWidth="1"/>
    <col min="10" max="10" width="10.81640625" customWidth="1"/>
  </cols>
  <sheetData>
    <row r="1" spans="1:10" ht="15" thickBot="1" x14ac:dyDescent="0.4">
      <c r="A1" s="191" t="s">
        <v>66</v>
      </c>
      <c r="B1" s="192"/>
      <c r="C1" s="157"/>
      <c r="D1" s="157"/>
      <c r="E1" s="192"/>
      <c r="F1" s="192"/>
      <c r="G1" s="192"/>
      <c r="H1" s="192"/>
      <c r="I1" s="192"/>
      <c r="J1" s="193"/>
    </row>
    <row r="2" spans="1:10" x14ac:dyDescent="0.35">
      <c r="A2" s="194" t="s">
        <v>67</v>
      </c>
      <c r="B2" s="195"/>
      <c r="C2" s="170" t="s">
        <v>140</v>
      </c>
      <c r="D2" s="196"/>
      <c r="E2" s="39" t="s">
        <v>69</v>
      </c>
      <c r="F2" s="9"/>
      <c r="G2" s="18" t="s">
        <v>70</v>
      </c>
      <c r="H2" s="17"/>
      <c r="I2" s="19" t="s">
        <v>71</v>
      </c>
      <c r="J2" s="16"/>
    </row>
    <row r="3" spans="1:10" x14ac:dyDescent="0.35">
      <c r="A3" s="166" t="s">
        <v>72</v>
      </c>
      <c r="B3" s="172"/>
      <c r="C3" s="151" t="s">
        <v>176</v>
      </c>
      <c r="D3" s="152"/>
      <c r="E3" s="40" t="s">
        <v>73</v>
      </c>
      <c r="F3" s="12"/>
      <c r="G3" s="20" t="s">
        <v>74</v>
      </c>
      <c r="H3" s="20" t="s">
        <v>75</v>
      </c>
      <c r="I3" s="20" t="s">
        <v>76</v>
      </c>
      <c r="J3" s="22" t="s">
        <v>77</v>
      </c>
    </row>
    <row r="4" spans="1:10" x14ac:dyDescent="0.35">
      <c r="A4" s="166" t="s">
        <v>141</v>
      </c>
      <c r="B4" s="172"/>
      <c r="C4" s="151">
        <v>2020</v>
      </c>
      <c r="D4" s="173"/>
      <c r="E4" s="40"/>
      <c r="F4" s="12"/>
      <c r="G4" s="20"/>
      <c r="H4" s="20"/>
      <c r="I4" s="20"/>
      <c r="J4" s="22"/>
    </row>
    <row r="5" spans="1:10" x14ac:dyDescent="0.35">
      <c r="A5" s="166" t="s">
        <v>79</v>
      </c>
      <c r="B5" s="172"/>
      <c r="C5" s="153">
        <v>43681</v>
      </c>
      <c r="D5" s="152"/>
      <c r="E5" s="145" t="s">
        <v>80</v>
      </c>
      <c r="F5" s="10"/>
      <c r="G5" s="20" t="s">
        <v>81</v>
      </c>
      <c r="H5" s="3"/>
      <c r="I5" s="3"/>
      <c r="J5" s="4"/>
    </row>
    <row r="6" spans="1:10" ht="15" thickBot="1" x14ac:dyDescent="0.4">
      <c r="A6" s="168" t="s">
        <v>82</v>
      </c>
      <c r="B6" s="190"/>
      <c r="C6" s="154" t="s">
        <v>142</v>
      </c>
      <c r="D6" s="155"/>
      <c r="E6" s="146"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0.5</v>
      </c>
      <c r="C16" s="7">
        <v>5</v>
      </c>
      <c r="D16" t="str">
        <f ca="1">_xlfn.TEXTJOIN(", ", TRUE, RANDBETWEEN(20, 85), RANDBETWEEN(20, 85), RANDBETWEEN(20, 85), RANDBETWEEN(20, 85), RANDBETWEEN(20, 85), RANDBETWEEN(20, 85), RANDBETWEEN(20, 85), RANDBETWEEN(20, 85), RANDBETWEEN(20, 85), RANDBETWEEN(20, 85))</f>
        <v>23, 24, 56, 63, 79, 24, 60, 31, 51, 24</v>
      </c>
      <c r="E16" s="54" cm="1">
        <f t="array" aca="1" ref="E16" ca="1">AverageStipeDiameter(D16)</f>
        <v>43.5</v>
      </c>
      <c r="F16" s="29">
        <v>21</v>
      </c>
      <c r="G16" s="7">
        <v>0.5</v>
      </c>
      <c r="H16" s="7">
        <f t="shared" ref="H16:H35" ca="1" si="0">RANDBETWEEN(1,25)</f>
        <v>13</v>
      </c>
      <c r="I16" t="str">
        <f t="shared" ref="I16:I19" ca="1" si="1">_xlfn.TEXTJOIN(", ", TRUE, RANDBETWEEN(20, 85), RANDBETWEEN(20, 85), RANDBETWEEN(20, 85), RANDBETWEEN(20, 85), RANDBETWEEN(20, 85), RANDBETWEEN(20, 85), RANDBETWEEN(20, 85), RANDBETWEEN(20, 85), RANDBETWEEN(20, 85), RANDBETWEEN(20, 85))</f>
        <v>20, 33, 79, 25, 32, 59, 31, 42, 76, 28</v>
      </c>
      <c r="J16" s="92" cm="1">
        <f t="array" aca="1" ref="J16" ca="1">AverageStipeDiameter(I16)</f>
        <v>42.5</v>
      </c>
    </row>
    <row r="17" spans="1:10" x14ac:dyDescent="0.35">
      <c r="A17" s="27">
        <v>2</v>
      </c>
      <c r="B17" s="7">
        <v>0.5</v>
      </c>
      <c r="C17" s="7">
        <v>15</v>
      </c>
      <c r="D17" t="str">
        <f t="shared" ref="D17:D35" ca="1" si="2">_xlfn.TEXTJOIN(", ", TRUE, RANDBETWEEN(20, 85), RANDBETWEEN(20, 85), RANDBETWEEN(20, 85), RANDBETWEEN(20, 85), RANDBETWEEN(20, 85), RANDBETWEEN(20, 85), RANDBETWEEN(20, 85), RANDBETWEEN(20, 85), RANDBETWEEN(20, 85), RANDBETWEEN(20, 85))</f>
        <v>74, 83, 80, 73, 83, 61, 79, 55, 74, 38</v>
      </c>
      <c r="E17" s="54" cm="1">
        <f t="array" aca="1" ref="E17" ca="1">AverageStipeDiameter(D17)</f>
        <v>70</v>
      </c>
      <c r="F17" s="29">
        <v>22</v>
      </c>
      <c r="G17" s="7">
        <v>0.5</v>
      </c>
      <c r="H17" s="7">
        <f t="shared" ca="1" si="0"/>
        <v>15</v>
      </c>
      <c r="I17" t="str">
        <f t="shared" ca="1" si="1"/>
        <v>46, 82, 23, 52, 83, 43, 23, 46, 55, 66</v>
      </c>
      <c r="J17" s="92" cm="1">
        <f t="array" aca="1" ref="J17" ca="1">AverageStipeDiameter(I17)</f>
        <v>51.9</v>
      </c>
    </row>
    <row r="18" spans="1:10" x14ac:dyDescent="0.35">
      <c r="A18" s="27">
        <v>3</v>
      </c>
      <c r="B18" s="7">
        <v>1</v>
      </c>
      <c r="C18" s="7">
        <v>10</v>
      </c>
      <c r="D18" t="str">
        <f t="shared" ca="1" si="2"/>
        <v>30, 46, 73, 52, 81, 33, 80, 34, 28, 32</v>
      </c>
      <c r="E18" s="54" cm="1">
        <f t="array" aca="1" ref="E18" ca="1">AverageStipeDiameter(D18)</f>
        <v>48.9</v>
      </c>
      <c r="F18" s="29">
        <v>23</v>
      </c>
      <c r="G18" s="7">
        <v>1</v>
      </c>
      <c r="H18" s="7">
        <f t="shared" ca="1" si="0"/>
        <v>8</v>
      </c>
      <c r="I18" t="str">
        <f t="shared" ca="1" si="1"/>
        <v>68, 38, 55, 20, 23, 33, 20, 77, 50, 44</v>
      </c>
      <c r="J18" s="92" cm="1">
        <f t="array" aca="1" ref="J18" ca="1">AverageStipeDiameter(I18)</f>
        <v>42.8</v>
      </c>
    </row>
    <row r="19" spans="1:10" x14ac:dyDescent="0.35">
      <c r="A19" s="27">
        <v>4</v>
      </c>
      <c r="B19" s="7">
        <v>1</v>
      </c>
      <c r="C19" s="7">
        <v>3</v>
      </c>
      <c r="D19" t="str">
        <f t="shared" ca="1" si="2"/>
        <v>22, 27, 58, 63, 69, 27, 66, 31, 62, 21</v>
      </c>
      <c r="E19" s="54" cm="1">
        <f t="array" aca="1" ref="E19" ca="1">AverageStipeDiameter(D19)</f>
        <v>44.6</v>
      </c>
      <c r="F19" s="29">
        <v>24</v>
      </c>
      <c r="G19" s="7">
        <v>1</v>
      </c>
      <c r="H19" s="7">
        <f t="shared" ca="1" si="0"/>
        <v>13</v>
      </c>
      <c r="I19" t="str">
        <f t="shared" ca="1" si="1"/>
        <v>24, 71, 52, 27, 53, 77, 22, 30, 54, 51</v>
      </c>
      <c r="J19" s="92" cm="1">
        <f t="array" aca="1" ref="J19" ca="1">AverageStipeDiameter(I19)</f>
        <v>46.1</v>
      </c>
    </row>
    <row r="20" spans="1:10" x14ac:dyDescent="0.35">
      <c r="A20" s="27">
        <v>5</v>
      </c>
      <c r="B20" s="7">
        <v>1</v>
      </c>
      <c r="C20" s="7">
        <v>8</v>
      </c>
      <c r="D20" t="str">
        <f t="shared" ca="1" si="2"/>
        <v>37, 83, 39, 61, 64, 70, 22, 53, 50, 59</v>
      </c>
      <c r="E20" s="54" cm="1">
        <f t="array" aca="1" ref="E20" ca="1">AverageStipeDiameter(D20)</f>
        <v>53.8</v>
      </c>
      <c r="F20" s="29">
        <v>25</v>
      </c>
      <c r="G20" s="7">
        <v>1</v>
      </c>
      <c r="H20" s="7">
        <f t="shared" ca="1" si="0"/>
        <v>24</v>
      </c>
      <c r="I20" t="str">
        <f ca="1">_xlfn.TEXTJOIN(", ", TRUE, RANDBETWEEN(20, 85), RANDBETWEEN(20, 85), RANDBETWEEN(20, 85), RANDBETWEEN(20, 85), RANDBETWEEN(20, 85), RANDBETWEEN(20, 85), RANDBETWEEN(20, 85), RANDBETWEEN(20, 85), RANDBETWEEN(20, 85), RANDBETWEEN(20, 85))</f>
        <v>58, 48, 38, 42, 53, 24, 53, 28, 34, 78</v>
      </c>
      <c r="J20" s="92" cm="1">
        <f t="array" aca="1" ref="J20" ca="1">AverageStipeDiameter(I20)</f>
        <v>45.6</v>
      </c>
    </row>
    <row r="21" spans="1:10" x14ac:dyDescent="0.35">
      <c r="A21" s="27">
        <v>6</v>
      </c>
      <c r="B21" s="7">
        <v>1</v>
      </c>
      <c r="C21" s="7">
        <v>4</v>
      </c>
      <c r="D21" t="str">
        <f t="shared" ca="1" si="2"/>
        <v>50, 38, 81, 38, 44, 69, 76, 62, 62, 20</v>
      </c>
      <c r="E21" s="54" cm="1">
        <f t="array" aca="1" ref="E21" ca="1">AverageStipeDiameter(D21)</f>
        <v>54</v>
      </c>
      <c r="F21" s="29">
        <v>26</v>
      </c>
      <c r="G21" s="7">
        <v>1</v>
      </c>
      <c r="H21" s="7">
        <f t="shared" ca="1" si="0"/>
        <v>24</v>
      </c>
      <c r="I21" t="str">
        <f t="shared" ref="I21:I35" ca="1" si="3">_xlfn.TEXTJOIN(", ", TRUE, RANDBETWEEN(20, 85), RANDBETWEEN(20, 85), RANDBETWEEN(20, 85), RANDBETWEEN(20, 85), RANDBETWEEN(20, 85), RANDBETWEEN(20, 85), RANDBETWEEN(20, 85), RANDBETWEEN(20, 85), RANDBETWEEN(20, 85), RANDBETWEEN(20, 85))</f>
        <v>72, 22, 42, 55, 69, 24, 69, 38, 74, 56</v>
      </c>
      <c r="J21" s="92" cm="1">
        <f t="array" aca="1" ref="J21" ca="1">AverageStipeDiameter(I21)</f>
        <v>52.1</v>
      </c>
    </row>
    <row r="22" spans="1:10" x14ac:dyDescent="0.35">
      <c r="A22" s="27">
        <v>7</v>
      </c>
      <c r="B22" s="7">
        <v>0.5</v>
      </c>
      <c r="C22" s="7">
        <v>10</v>
      </c>
      <c r="D22" t="str">
        <f t="shared" ca="1" si="2"/>
        <v>45, 42, 34, 81, 71, 75, 74, 33, 85, 45</v>
      </c>
      <c r="E22" s="54" cm="1">
        <f t="array" aca="1" ref="E22" ca="1">AverageStipeDiameter(D22)</f>
        <v>58.5</v>
      </c>
      <c r="F22" s="29">
        <v>27</v>
      </c>
      <c r="G22" s="7">
        <v>0.5</v>
      </c>
      <c r="H22" s="7">
        <f t="shared" ca="1" si="0"/>
        <v>17</v>
      </c>
      <c r="I22" t="str">
        <f t="shared" ca="1" si="3"/>
        <v>22, 30, 49, 24, 83, 51, 55, 25, 30, 55</v>
      </c>
      <c r="J22" s="92" cm="1">
        <f t="array" aca="1" ref="J22" ca="1">AverageStipeDiameter(I22)</f>
        <v>42.4</v>
      </c>
    </row>
    <row r="23" spans="1:10" x14ac:dyDescent="0.35">
      <c r="A23" s="27">
        <v>8</v>
      </c>
      <c r="B23" s="7">
        <v>2</v>
      </c>
      <c r="C23" s="7">
        <v>13</v>
      </c>
      <c r="D23" t="str">
        <f t="shared" ca="1" si="2"/>
        <v>29, 53, 77, 44, 55, 57, 26, 56, 74, 56</v>
      </c>
      <c r="E23" s="54" cm="1">
        <f t="array" aca="1" ref="E23" ca="1">AverageStipeDiameter(D23)</f>
        <v>52.7</v>
      </c>
      <c r="F23" s="29">
        <v>28</v>
      </c>
      <c r="G23" s="7">
        <v>2</v>
      </c>
      <c r="H23" s="7">
        <f t="shared" ca="1" si="0"/>
        <v>25</v>
      </c>
      <c r="I23" t="str">
        <f t="shared" ca="1" si="3"/>
        <v>32, 46, 28, 67, 20, 73, 58, 83, 69, 52</v>
      </c>
      <c r="J23" s="92" cm="1">
        <f t="array" aca="1" ref="J23" ca="1">AverageStipeDiameter(I23)</f>
        <v>52.8</v>
      </c>
    </row>
    <row r="24" spans="1:10" x14ac:dyDescent="0.35">
      <c r="A24" s="27">
        <v>9</v>
      </c>
      <c r="B24" s="7">
        <v>1</v>
      </c>
      <c r="C24" s="7">
        <v>19</v>
      </c>
      <c r="D24" t="str">
        <f t="shared" ca="1" si="2"/>
        <v>57, 79, 74, 43, 33, 76, 74, 84, 21, 39</v>
      </c>
      <c r="E24" s="54" cm="1">
        <f t="array" aca="1" ref="E24" ca="1">AverageStipeDiameter(D24)</f>
        <v>58</v>
      </c>
      <c r="F24" s="29">
        <v>29</v>
      </c>
      <c r="G24" s="7">
        <v>1</v>
      </c>
      <c r="H24" s="7">
        <f t="shared" ca="1" si="0"/>
        <v>2</v>
      </c>
      <c r="I24" t="str">
        <f t="shared" ca="1" si="3"/>
        <v>33, 20, 85, 20, 49, 44, 31, 73, 65, 57</v>
      </c>
      <c r="J24" s="92" cm="1">
        <f t="array" aca="1" ref="J24" ca="1">AverageStipeDiameter(I24)</f>
        <v>47.7</v>
      </c>
    </row>
    <row r="25" spans="1:10" x14ac:dyDescent="0.35">
      <c r="A25" s="27">
        <v>10</v>
      </c>
      <c r="B25" s="7">
        <v>1</v>
      </c>
      <c r="C25" s="7">
        <v>8</v>
      </c>
      <c r="D25" t="str">
        <f t="shared" ca="1" si="2"/>
        <v>26, 53, 43, 27, 45, 36, 75, 36, 26, 28</v>
      </c>
      <c r="E25" s="54" cm="1">
        <f t="array" aca="1" ref="E25" ca="1">AverageStipeDiameter(D25)</f>
        <v>39.5</v>
      </c>
      <c r="F25" s="29">
        <v>30</v>
      </c>
      <c r="G25" s="7">
        <v>1</v>
      </c>
      <c r="H25" s="7">
        <f t="shared" ca="1" si="0"/>
        <v>23</v>
      </c>
      <c r="I25" t="str">
        <f t="shared" ca="1" si="3"/>
        <v>78, 29, 30, 25, 65, 83, 47, 25, 85, 59</v>
      </c>
      <c r="J25" s="92" cm="1">
        <f t="array" aca="1" ref="J25" ca="1">AverageStipeDiameter(I25)</f>
        <v>52.6</v>
      </c>
    </row>
    <row r="26" spans="1:10" x14ac:dyDescent="0.35">
      <c r="A26" s="27">
        <v>11</v>
      </c>
      <c r="B26" s="7">
        <v>2</v>
      </c>
      <c r="C26" s="7">
        <v>10</v>
      </c>
      <c r="D26" t="str">
        <f t="shared" ca="1" si="2"/>
        <v>41, 57, 80, 71, 25, 24, 50, 45, 27, 79</v>
      </c>
      <c r="E26" s="54" cm="1">
        <f t="array" aca="1" ref="E26" ca="1">AverageStipeDiameter(D26)</f>
        <v>49.9</v>
      </c>
      <c r="F26" s="29">
        <v>31</v>
      </c>
      <c r="G26" s="7">
        <v>2</v>
      </c>
      <c r="H26" s="7">
        <f t="shared" ca="1" si="0"/>
        <v>4</v>
      </c>
      <c r="I26" t="str">
        <f t="shared" ca="1" si="3"/>
        <v>65, 43, 34, 79, 56, 53, 77, 61, 66, 83</v>
      </c>
      <c r="J26" s="92" cm="1">
        <f t="array" aca="1" ref="J26" ca="1">AverageStipeDiameter(I26)</f>
        <v>61.7</v>
      </c>
    </row>
    <row r="27" spans="1:10" x14ac:dyDescent="0.35">
      <c r="A27" s="27">
        <v>12</v>
      </c>
      <c r="B27" s="7">
        <v>2</v>
      </c>
      <c r="C27" s="7">
        <v>15</v>
      </c>
      <c r="D27" t="str">
        <f t="shared" ca="1" si="2"/>
        <v>28, 61, 40, 70, 32, 56, 40, 62, 62, 30</v>
      </c>
      <c r="E27" s="54" cm="1">
        <f t="array" aca="1" ref="E27" ca="1">AverageStipeDiameter(D27)</f>
        <v>48.1</v>
      </c>
      <c r="F27" s="29">
        <v>32</v>
      </c>
      <c r="G27" s="7">
        <v>2</v>
      </c>
      <c r="H27" s="7">
        <f t="shared" ca="1" si="0"/>
        <v>6</v>
      </c>
      <c r="I27" t="str">
        <f t="shared" ca="1" si="3"/>
        <v>75, 64, 31, 62, 39, 60, 72, 56, 49, 67</v>
      </c>
      <c r="J27" s="92" cm="1">
        <f t="array" aca="1" ref="J27" ca="1">AverageStipeDiameter(I27)</f>
        <v>57.5</v>
      </c>
    </row>
    <row r="28" spans="1:10" x14ac:dyDescent="0.35">
      <c r="A28" s="27">
        <v>13</v>
      </c>
      <c r="B28" s="7">
        <v>2</v>
      </c>
      <c r="C28" s="7">
        <v>12</v>
      </c>
      <c r="D28" t="str">
        <f t="shared" ca="1" si="2"/>
        <v>69, 85, 64, 40, 84, 51, 33, 61, 77, 28</v>
      </c>
      <c r="E28" s="54" cm="1">
        <f t="array" aca="1" ref="E28" ca="1">AverageStipeDiameter(D28)</f>
        <v>59.2</v>
      </c>
      <c r="F28" s="29">
        <v>33</v>
      </c>
      <c r="G28" s="7">
        <v>2</v>
      </c>
      <c r="H28" s="7">
        <f t="shared" ca="1" si="0"/>
        <v>11</v>
      </c>
      <c r="I28" t="str">
        <f t="shared" ca="1" si="3"/>
        <v>65, 52, 52, 49, 76, 21, 39, 65, 82, 50</v>
      </c>
      <c r="J28" s="92" cm="1">
        <f t="array" aca="1" ref="J28" ca="1">AverageStipeDiameter(I28)</f>
        <v>55.1</v>
      </c>
    </row>
    <row r="29" spans="1:10" x14ac:dyDescent="0.35">
      <c r="A29" s="27">
        <v>14</v>
      </c>
      <c r="B29" s="7">
        <v>0</v>
      </c>
      <c r="C29" s="7">
        <f ca="1">RANDBETWEEN(1,25)</f>
        <v>21</v>
      </c>
      <c r="D29" t="str">
        <f t="shared" ca="1" si="2"/>
        <v>56, 55, 40, 37, 33, 32, 82, 51, 21, 83</v>
      </c>
      <c r="E29" s="54" cm="1">
        <f t="array" aca="1" ref="E29" ca="1">AverageStipeDiameter(D29)</f>
        <v>49</v>
      </c>
      <c r="F29" s="29">
        <v>34</v>
      </c>
      <c r="G29" s="7">
        <v>0</v>
      </c>
      <c r="H29" s="7">
        <f t="shared" ca="1" si="0"/>
        <v>9</v>
      </c>
      <c r="I29" t="str">
        <f t="shared" ca="1" si="3"/>
        <v>38, 35, 51, 68, 72, 37, 23, 77, 72, 71</v>
      </c>
      <c r="J29" s="92" cm="1">
        <f t="array" aca="1" ref="J29" ca="1">AverageStipeDiameter(I29)</f>
        <v>54.4</v>
      </c>
    </row>
    <row r="30" spans="1:10" x14ac:dyDescent="0.35">
      <c r="A30" s="27">
        <v>15</v>
      </c>
      <c r="B30" s="7">
        <v>0</v>
      </c>
      <c r="C30" s="7">
        <f t="shared" ref="C30:C35" ca="1" si="4">RANDBETWEEN(1,25)</f>
        <v>14</v>
      </c>
      <c r="D30" t="str">
        <f t="shared" ca="1" si="2"/>
        <v>35, 56, 77, 58, 25, 43, 41, 40, 73, 26</v>
      </c>
      <c r="E30" s="54" cm="1">
        <f t="array" aca="1" ref="E30" ca="1">AverageStipeDiameter(D30)</f>
        <v>47.4</v>
      </c>
      <c r="F30" s="29">
        <v>35</v>
      </c>
      <c r="G30" s="7">
        <v>0</v>
      </c>
      <c r="H30" s="7">
        <f t="shared" ca="1" si="0"/>
        <v>14</v>
      </c>
      <c r="I30" t="str">
        <f t="shared" ca="1" si="3"/>
        <v>27, 73, 75, 75, 24, 63, 36, 32, 20, 43</v>
      </c>
      <c r="J30" s="92" cm="1">
        <f t="array" aca="1" ref="J30" ca="1">AverageStipeDiameter(I30)</f>
        <v>46.8</v>
      </c>
    </row>
    <row r="31" spans="1:10" x14ac:dyDescent="0.35">
      <c r="A31" s="27">
        <v>16</v>
      </c>
      <c r="B31" s="7">
        <v>0.5</v>
      </c>
      <c r="C31" s="7">
        <f t="shared" ca="1" si="4"/>
        <v>1</v>
      </c>
      <c r="D31" t="str">
        <f t="shared" ca="1" si="2"/>
        <v>69, 61, 71, 48, 67, 52, 73, 79, 36, 84</v>
      </c>
      <c r="E31" s="54" cm="1">
        <f t="array" aca="1" ref="E31" ca="1">AverageStipeDiameter(D31)</f>
        <v>64</v>
      </c>
      <c r="F31" s="29">
        <v>36</v>
      </c>
      <c r="G31" s="7">
        <v>0.5</v>
      </c>
      <c r="H31" s="7">
        <f t="shared" ca="1" si="0"/>
        <v>24</v>
      </c>
      <c r="I31" t="str">
        <f t="shared" ca="1" si="3"/>
        <v>38, 39, 77, 44, 73, 57, 53, 68, 75, 80</v>
      </c>
      <c r="J31" s="92" cm="1">
        <f t="array" aca="1" ref="J31" ca="1">AverageStipeDiameter(I31)</f>
        <v>60.4</v>
      </c>
    </row>
    <row r="32" spans="1:10" x14ac:dyDescent="0.35">
      <c r="A32" s="27">
        <v>17</v>
      </c>
      <c r="B32" s="7">
        <v>0.5</v>
      </c>
      <c r="C32" s="7">
        <f t="shared" ca="1" si="4"/>
        <v>25</v>
      </c>
      <c r="D32" t="str">
        <f t="shared" ca="1" si="2"/>
        <v>85, 74, 64, 26, 49, 81, 50, 34, 34, 81</v>
      </c>
      <c r="E32" s="54" cm="1">
        <f t="array" aca="1" ref="E32" ca="1">AverageStipeDiameter(D32)</f>
        <v>57.8</v>
      </c>
      <c r="F32" s="29">
        <v>37</v>
      </c>
      <c r="G32" s="7">
        <v>0.5</v>
      </c>
      <c r="H32" s="7">
        <f t="shared" ca="1" si="0"/>
        <v>4</v>
      </c>
      <c r="I32" t="str">
        <f t="shared" ca="1" si="3"/>
        <v>55, 26, 26, 74, 65, 54, 24, 54, 65, 32</v>
      </c>
      <c r="J32" s="92" cm="1">
        <f t="array" aca="1" ref="J32" ca="1">AverageStipeDiameter(I32)</f>
        <v>47.5</v>
      </c>
    </row>
    <row r="33" spans="1:10" x14ac:dyDescent="0.35">
      <c r="A33" s="27">
        <v>18</v>
      </c>
      <c r="B33" s="7">
        <v>1</v>
      </c>
      <c r="C33" s="7">
        <f t="shared" ca="1" si="4"/>
        <v>11</v>
      </c>
      <c r="D33" t="str">
        <f t="shared" ca="1" si="2"/>
        <v>37, 29, 31, 85, 78, 30, 76, 23, 40, 42</v>
      </c>
      <c r="E33" s="54" cm="1">
        <f t="array" aca="1" ref="E33" ca="1">AverageStipeDiameter(D33)</f>
        <v>47.1</v>
      </c>
      <c r="F33" s="29">
        <v>38</v>
      </c>
      <c r="G33" s="7">
        <v>1</v>
      </c>
      <c r="H33" s="7">
        <f t="shared" ca="1" si="0"/>
        <v>16</v>
      </c>
      <c r="I33" t="str">
        <f t="shared" ca="1" si="3"/>
        <v>72, 28, 34, 67, 40, 51, 34, 21, 51, 40</v>
      </c>
      <c r="J33" s="92" cm="1">
        <f t="array" aca="1" ref="J33" ca="1">AverageStipeDiameter(I33)</f>
        <v>43.8</v>
      </c>
    </row>
    <row r="34" spans="1:10" x14ac:dyDescent="0.35">
      <c r="A34" s="27">
        <v>19</v>
      </c>
      <c r="B34" s="7">
        <v>2</v>
      </c>
      <c r="C34" s="7">
        <f t="shared" ca="1" si="4"/>
        <v>4</v>
      </c>
      <c r="D34" t="str">
        <f t="shared" ca="1" si="2"/>
        <v>77, 33, 34, 80, 81, 67, 42, 73, 46, 44</v>
      </c>
      <c r="E34" s="54" cm="1">
        <f t="array" aca="1" ref="E34" ca="1">AverageStipeDiameter(D34)</f>
        <v>57.7</v>
      </c>
      <c r="F34" s="29">
        <v>39</v>
      </c>
      <c r="G34" s="7">
        <v>2</v>
      </c>
      <c r="H34" s="7">
        <f t="shared" ca="1" si="0"/>
        <v>8</v>
      </c>
      <c r="I34" t="str">
        <f t="shared" ca="1" si="3"/>
        <v>71, 29, 33, 29, 47, 57, 72, 39, 43, 83</v>
      </c>
      <c r="J34" s="92" cm="1">
        <f t="array" aca="1" ref="J34" ca="1">AverageStipeDiameter(I34)</f>
        <v>50.3</v>
      </c>
    </row>
    <row r="35" spans="1:10" ht="15" thickBot="1" x14ac:dyDescent="0.4">
      <c r="A35" s="28">
        <v>20</v>
      </c>
      <c r="B35" s="8">
        <v>3</v>
      </c>
      <c r="C35" s="7">
        <f t="shared" ca="1" si="4"/>
        <v>7</v>
      </c>
      <c r="D35" t="str">
        <f t="shared" ca="1" si="2"/>
        <v>84, 65, 63, 37, 75, 65, 56, 38, 43, 74</v>
      </c>
      <c r="E35" s="93" cm="1">
        <f t="array" aca="1" ref="E35" ca="1">AverageStipeDiameter(D35)</f>
        <v>60</v>
      </c>
      <c r="F35" s="30">
        <v>40</v>
      </c>
      <c r="G35" s="8">
        <v>3</v>
      </c>
      <c r="H35" s="7">
        <f t="shared" ca="1" si="0"/>
        <v>24</v>
      </c>
      <c r="I35" t="str">
        <f t="shared" ca="1" si="3"/>
        <v>31, 54, 82, 42, 69, 42, 73, 53, 77, 63</v>
      </c>
      <c r="J35" s="94" cm="1">
        <f t="array" aca="1" ref="J35" ca="1">AverageStipeDiameter(I35)</f>
        <v>58.6</v>
      </c>
    </row>
    <row r="36" spans="1:10" ht="17" thickBot="1" x14ac:dyDescent="0.4">
      <c r="A36" s="188" t="s">
        <v>133</v>
      </c>
      <c r="B36" s="189"/>
      <c r="C36" s="80">
        <v>1200</v>
      </c>
    </row>
    <row r="37" spans="1:10" ht="17" thickBot="1" x14ac:dyDescent="0.4">
      <c r="A37" s="186" t="s">
        <v>134</v>
      </c>
      <c r="B37" s="187"/>
      <c r="C37" s="81">
        <v>950</v>
      </c>
    </row>
    <row r="38" spans="1:10" ht="15" thickBot="1" x14ac:dyDescent="0.4">
      <c r="A38" s="182" t="s">
        <v>135</v>
      </c>
      <c r="B38" s="183"/>
      <c r="C38" s="78" cm="1">
        <f t="array" ref="C38">Bryozoans(B16:B35,G16:G35)</f>
        <v>16.666666666666668</v>
      </c>
    </row>
    <row r="39" spans="1:10" ht="15" thickBot="1" x14ac:dyDescent="0.4">
      <c r="A39" s="184" t="s">
        <v>136</v>
      </c>
      <c r="B39" s="185"/>
      <c r="C39" s="79" cm="1">
        <f t="array" aca="1" ref="C39" ca="1">AverageCSVcols(D16:D35,I16:I35)</f>
        <v>51.907499999999999</v>
      </c>
    </row>
    <row r="40" spans="1:10" ht="15" thickBot="1" x14ac:dyDescent="0.4">
      <c r="A40" s="186" t="s">
        <v>137</v>
      </c>
      <c r="B40" s="187"/>
      <c r="C40" s="77">
        <f ca="1">AVERAGE(C16:C35,H16:H35)</f>
        <v>12.475</v>
      </c>
    </row>
  </sheetData>
  <mergeCells count="24">
    <mergeCell ref="A36:B36"/>
    <mergeCell ref="A37:B37"/>
    <mergeCell ref="A38:B38"/>
    <mergeCell ref="A39:B39"/>
    <mergeCell ref="A40:B40"/>
    <mergeCell ref="A14:J14"/>
    <mergeCell ref="A5:B5"/>
    <mergeCell ref="C5:D5"/>
    <mergeCell ref="A6:B6"/>
    <mergeCell ref="C6:D6"/>
    <mergeCell ref="A7:F7"/>
    <mergeCell ref="G8:J8"/>
    <mergeCell ref="I9:J9"/>
    <mergeCell ref="I10:J10"/>
    <mergeCell ref="I11:J11"/>
    <mergeCell ref="I12:J12"/>
    <mergeCell ref="H13:J13"/>
    <mergeCell ref="A4:B4"/>
    <mergeCell ref="C4:D4"/>
    <mergeCell ref="A1:J1"/>
    <mergeCell ref="A2:B2"/>
    <mergeCell ref="C2:D2"/>
    <mergeCell ref="A3:B3"/>
    <mergeCell ref="C3:D3"/>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08D36-6779-43DF-84E0-F1D171DEF1AA}">
  <sheetPr codeName="Sheet23">
    <tabColor theme="8" tint="0.79998168889431442"/>
  </sheetPr>
  <dimension ref="A1:J40"/>
  <sheetViews>
    <sheetView zoomScale="80" zoomScaleNormal="80" workbookViewId="0">
      <selection activeCell="C3" sqref="C3:D3"/>
    </sheetView>
  </sheetViews>
  <sheetFormatPr defaultRowHeight="14.5" x14ac:dyDescent="0.35"/>
  <cols>
    <col min="1" max="1" width="12.54296875" customWidth="1"/>
    <col min="2" max="2" width="12.1796875" bestFit="1" customWidth="1"/>
    <col min="3" max="3" width="10.1796875" customWidth="1"/>
    <col min="4" max="4" width="27" customWidth="1"/>
    <col min="5" max="5" width="21.1796875" customWidth="1"/>
    <col min="6" max="6" width="9.1796875" customWidth="1"/>
    <col min="7" max="7" width="20.81640625" customWidth="1"/>
    <col min="8" max="8" width="12.1796875" bestFit="1" customWidth="1"/>
    <col min="9" max="9" width="17.81640625" bestFit="1" customWidth="1"/>
    <col min="10" max="10" width="10.81640625" customWidth="1"/>
  </cols>
  <sheetData>
    <row r="1" spans="1:10" ht="15" thickBot="1" x14ac:dyDescent="0.4">
      <c r="A1" s="191" t="s">
        <v>66</v>
      </c>
      <c r="B1" s="192"/>
      <c r="C1" s="157"/>
      <c r="D1" s="157"/>
      <c r="E1" s="192"/>
      <c r="F1" s="192"/>
      <c r="G1" s="192"/>
      <c r="H1" s="192"/>
      <c r="I1" s="192"/>
      <c r="J1" s="193"/>
    </row>
    <row r="2" spans="1:10" x14ac:dyDescent="0.35">
      <c r="A2" s="217" t="s">
        <v>67</v>
      </c>
      <c r="B2" s="165"/>
      <c r="C2" s="220" t="s">
        <v>68</v>
      </c>
      <c r="D2" s="221"/>
      <c r="E2" s="13" t="s">
        <v>69</v>
      </c>
      <c r="F2" s="9"/>
      <c r="G2" s="18" t="s">
        <v>70</v>
      </c>
      <c r="H2" s="17"/>
      <c r="I2" s="19" t="s">
        <v>71</v>
      </c>
      <c r="J2" s="16"/>
    </row>
    <row r="3" spans="1:10" x14ac:dyDescent="0.35">
      <c r="A3" s="177" t="s">
        <v>72</v>
      </c>
      <c r="B3" s="172"/>
      <c r="C3" s="151" t="s">
        <v>174</v>
      </c>
      <c r="D3" s="219"/>
      <c r="E3" s="14" t="s">
        <v>73</v>
      </c>
      <c r="F3" s="12"/>
      <c r="G3" s="20" t="s">
        <v>74</v>
      </c>
      <c r="H3" s="20" t="s">
        <v>75</v>
      </c>
      <c r="I3" s="20" t="s">
        <v>76</v>
      </c>
      <c r="J3" s="22" t="s">
        <v>77</v>
      </c>
    </row>
    <row r="4" spans="1:10" x14ac:dyDescent="0.35">
      <c r="A4" s="177" t="s">
        <v>141</v>
      </c>
      <c r="B4" s="172"/>
      <c r="C4" s="151">
        <v>2023</v>
      </c>
      <c r="D4" s="219"/>
      <c r="E4" s="14"/>
      <c r="F4" s="12"/>
      <c r="G4" s="20"/>
      <c r="H4" s="20"/>
      <c r="I4" s="20"/>
      <c r="J4" s="22"/>
    </row>
    <row r="5" spans="1:10" x14ac:dyDescent="0.35">
      <c r="A5" s="177" t="s">
        <v>79</v>
      </c>
      <c r="B5" s="172"/>
      <c r="C5" s="153">
        <v>45135</v>
      </c>
      <c r="D5" s="219"/>
      <c r="E5" s="105" t="s">
        <v>80</v>
      </c>
      <c r="F5" s="10"/>
      <c r="G5" s="20" t="s">
        <v>81</v>
      </c>
      <c r="H5" s="3"/>
      <c r="I5" s="3"/>
      <c r="J5" s="4"/>
    </row>
    <row r="6" spans="1:10" ht="15" thickBot="1" x14ac:dyDescent="0.4">
      <c r="A6" s="218" t="s">
        <v>82</v>
      </c>
      <c r="B6" s="190"/>
      <c r="C6" s="154" t="s">
        <v>83</v>
      </c>
      <c r="D6" s="222"/>
      <c r="E6" s="15"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5</v>
      </c>
      <c r="C16" s="7">
        <v>10</v>
      </c>
      <c r="D16" t="str">
        <f ca="1">_xlfn.TEXTJOIN(", ", TRUE, RANDBETWEEN(20, 85), RANDBETWEEN(20, 85), RANDBETWEEN(20, 85), RANDBETWEEN(20, 85), RANDBETWEEN(20, 85), RANDBETWEEN(20, 85), RANDBETWEEN(20, 85), RANDBETWEEN(20, 85), RANDBETWEEN(20, 85), RANDBETWEEN(20, 85))</f>
        <v>46, 20, 22, 68, 66, 49, 75, 45, 41, 81</v>
      </c>
      <c r="E16" s="54" cm="1">
        <f t="array" aca="1" ref="E16" ca="1">AverageStipeDiameter(D16)</f>
        <v>51.3</v>
      </c>
      <c r="F16" s="29">
        <v>21</v>
      </c>
      <c r="G16" s="7">
        <v>3</v>
      </c>
      <c r="H16" s="7">
        <f t="shared" ref="H16:H22" ca="1" si="0">RANDBETWEEN(1,25)</f>
        <v>7</v>
      </c>
      <c r="I16" t="str">
        <f t="shared" ref="I16:I22" ca="1" si="1">_xlfn.TEXTJOIN(", ", TRUE, RANDBETWEEN(20, 85), RANDBETWEEN(20, 85), RANDBETWEEN(20, 85), RANDBETWEEN(20, 85), RANDBETWEEN(20, 85), RANDBETWEEN(20, 85), RANDBETWEEN(20, 85), RANDBETWEEN(20, 85), RANDBETWEEN(20, 85), RANDBETWEEN(20, 85))</f>
        <v>75, 51, 30, 42, 66, 22, 38, 56, 43, 31</v>
      </c>
      <c r="J16" s="92" cm="1">
        <f t="array" aca="1" ref="J16" ca="1">AverageStipeDiameter(I16)</f>
        <v>45.4</v>
      </c>
    </row>
    <row r="17" spans="1:10" x14ac:dyDescent="0.35">
      <c r="A17" s="27">
        <v>2</v>
      </c>
      <c r="B17" s="7">
        <v>5</v>
      </c>
      <c r="C17" s="7">
        <v>17</v>
      </c>
      <c r="D17" t="str">
        <f t="shared" ref="D17:D35" ca="1" si="2">_xlfn.TEXTJOIN(", ", TRUE, RANDBETWEEN(20, 85), RANDBETWEEN(20, 85), RANDBETWEEN(20, 85), RANDBETWEEN(20, 85), RANDBETWEEN(20, 85), RANDBETWEEN(20, 85), RANDBETWEEN(20, 85), RANDBETWEEN(20, 85), RANDBETWEEN(20, 85), RANDBETWEEN(20, 85))</f>
        <v>49, 68, 47, 73, 26, 79, 76, 74, 39, 59</v>
      </c>
      <c r="E17" s="54" cm="1">
        <f t="array" aca="1" ref="E17" ca="1">AverageStipeDiameter(D17)</f>
        <v>59</v>
      </c>
      <c r="F17" s="29">
        <v>22</v>
      </c>
      <c r="G17" s="7">
        <v>1</v>
      </c>
      <c r="H17" s="7">
        <f t="shared" ca="1" si="0"/>
        <v>1</v>
      </c>
      <c r="I17" t="str">
        <f t="shared" ca="1" si="1"/>
        <v>77, 44, 58, 70, 84, 20, 66, 77, 41, 58</v>
      </c>
      <c r="J17" s="92" cm="1">
        <f t="array" aca="1" ref="J17" ca="1">AverageStipeDiameter(I17)</f>
        <v>59.5</v>
      </c>
    </row>
    <row r="18" spans="1:10" x14ac:dyDescent="0.35">
      <c r="A18" s="27">
        <v>3</v>
      </c>
      <c r="B18" s="7">
        <v>5</v>
      </c>
      <c r="C18" s="7">
        <v>21</v>
      </c>
      <c r="D18" t="str">
        <f t="shared" ca="1" si="2"/>
        <v>68, 30, 67, 33, 37, 59, 37, 20, 60, 38</v>
      </c>
      <c r="E18" s="54" cm="1">
        <f t="array" aca="1" ref="E18" ca="1">AverageStipeDiameter(D18)</f>
        <v>44.9</v>
      </c>
      <c r="F18" s="29">
        <v>23</v>
      </c>
      <c r="G18" s="7">
        <v>1</v>
      </c>
      <c r="H18" s="7">
        <f t="shared" ca="1" si="0"/>
        <v>9</v>
      </c>
      <c r="I18" t="str">
        <f t="shared" ca="1" si="1"/>
        <v>62, 55, 32, 75, 40, 61, 79, 38, 27, 71</v>
      </c>
      <c r="J18" s="92" cm="1">
        <f t="array" aca="1" ref="J18" ca="1">AverageStipeDiameter(I18)</f>
        <v>54</v>
      </c>
    </row>
    <row r="19" spans="1:10" x14ac:dyDescent="0.35">
      <c r="A19" s="27">
        <v>4</v>
      </c>
      <c r="B19" s="7">
        <v>5</v>
      </c>
      <c r="C19" s="7">
        <v>23</v>
      </c>
      <c r="D19" t="str">
        <f t="shared" ca="1" si="2"/>
        <v>28, 60, 68, 70, 27, 80, 36, 68, 69, 70</v>
      </c>
      <c r="E19" s="54" cm="1">
        <f t="array" aca="1" ref="E19" ca="1">AverageStipeDiameter(D19)</f>
        <v>57.6</v>
      </c>
      <c r="F19" s="29">
        <v>24</v>
      </c>
      <c r="G19" s="7">
        <v>0.5</v>
      </c>
      <c r="H19" s="7">
        <f t="shared" ca="1" si="0"/>
        <v>2</v>
      </c>
      <c r="I19" t="str">
        <f t="shared" ca="1" si="1"/>
        <v>22, 74, 42, 52, 53, 80, 33, 54, 24, 82</v>
      </c>
      <c r="J19" s="92" cm="1">
        <f t="array" aca="1" ref="J19" ca="1">AverageStipeDiameter(I19)</f>
        <v>51.6</v>
      </c>
    </row>
    <row r="20" spans="1:10" x14ac:dyDescent="0.35">
      <c r="A20" s="27">
        <v>5</v>
      </c>
      <c r="B20" s="7">
        <v>5</v>
      </c>
      <c r="C20" s="7">
        <v>5</v>
      </c>
      <c r="D20" t="str">
        <f t="shared" ca="1" si="2"/>
        <v>45, 41, 85, 67, 27, 62, 79, 46, 75, 81</v>
      </c>
      <c r="E20" s="54" cm="1">
        <f t="array" aca="1" ref="E20" ca="1">AverageStipeDiameter(D20)</f>
        <v>60.8</v>
      </c>
      <c r="F20" s="29">
        <v>25</v>
      </c>
      <c r="G20" s="7">
        <v>0.5</v>
      </c>
      <c r="H20" s="7">
        <f t="shared" ca="1" si="0"/>
        <v>20</v>
      </c>
      <c r="I20" t="str">
        <f t="shared" ca="1" si="1"/>
        <v>82, 40, 50, 64, 44, 57, 78, 78, 70, 64</v>
      </c>
      <c r="J20" s="92" cm="1">
        <f t="array" aca="1" ref="J20" ca="1">AverageStipeDiameter(I20)</f>
        <v>62.7</v>
      </c>
    </row>
    <row r="21" spans="1:10" x14ac:dyDescent="0.35">
      <c r="A21" s="27">
        <v>6</v>
      </c>
      <c r="B21" s="7">
        <v>5</v>
      </c>
      <c r="C21" s="7">
        <v>7</v>
      </c>
      <c r="D21" t="str">
        <f t="shared" ca="1" si="2"/>
        <v>59, 32, 78, 44, 67, 45, 34, 57, 63, 30</v>
      </c>
      <c r="E21" s="54" cm="1">
        <f t="array" aca="1" ref="E21" ca="1">AverageStipeDiameter(D21)</f>
        <v>50.9</v>
      </c>
      <c r="F21" s="29">
        <v>26</v>
      </c>
      <c r="G21" s="7">
        <v>1</v>
      </c>
      <c r="H21" s="7">
        <f t="shared" ca="1" si="0"/>
        <v>24</v>
      </c>
      <c r="I21" t="str">
        <f t="shared" ca="1" si="1"/>
        <v>83, 40, 77, 57, 43, 30, 47, 78, 52, 56</v>
      </c>
      <c r="J21" s="92" cm="1">
        <f t="array" aca="1" ref="J21" ca="1">AverageStipeDiameter(I21)</f>
        <v>56.3</v>
      </c>
    </row>
    <row r="22" spans="1:10" x14ac:dyDescent="0.35">
      <c r="A22" s="27">
        <v>7</v>
      </c>
      <c r="B22" s="7">
        <v>5</v>
      </c>
      <c r="C22" s="7">
        <v>28</v>
      </c>
      <c r="D22" t="str">
        <f t="shared" ca="1" si="2"/>
        <v>20, 77, 59, 23, 63, 53, 44, 46, 38, 46</v>
      </c>
      <c r="E22" s="54" cm="1">
        <f t="array" aca="1" ref="E22" ca="1">AverageStipeDiameter(D22)</f>
        <v>46.9</v>
      </c>
      <c r="F22" s="29">
        <v>27</v>
      </c>
      <c r="G22" s="7">
        <v>0</v>
      </c>
      <c r="H22" s="7">
        <f t="shared" ca="1" si="0"/>
        <v>12</v>
      </c>
      <c r="I22" t="str">
        <f t="shared" ca="1" si="1"/>
        <v>57, 55, 44, 76, 46, 31, 52, 74, 45, 45</v>
      </c>
      <c r="J22" s="92" cm="1">
        <f t="array" aca="1" ref="J22" ca="1">AverageStipeDiameter(I22)</f>
        <v>52.5</v>
      </c>
    </row>
    <row r="23" spans="1:10" x14ac:dyDescent="0.35">
      <c r="A23" s="27">
        <v>8</v>
      </c>
      <c r="B23" s="7">
        <v>4</v>
      </c>
      <c r="C23" s="7">
        <v>15</v>
      </c>
      <c r="D23" t="str">
        <f t="shared" ca="1" si="2"/>
        <v>47, 82, 61, 77, 48, 27, 27, 35, 44, 28</v>
      </c>
      <c r="E23" s="54" cm="1">
        <f t="array" aca="1" ref="E23" ca="1">AverageStipeDiameter(D23)</f>
        <v>47.6</v>
      </c>
      <c r="F23" s="29">
        <v>28</v>
      </c>
      <c r="G23" s="7"/>
      <c r="H23" s="7"/>
      <c r="I23" s="43"/>
      <c r="J23" s="92" cm="1">
        <f t="array" ref="J23">AverageStipeDiameter(I23)</f>
        <v>0</v>
      </c>
    </row>
    <row r="24" spans="1:10" x14ac:dyDescent="0.35">
      <c r="A24" s="27">
        <v>9</v>
      </c>
      <c r="B24" s="7">
        <v>5</v>
      </c>
      <c r="C24" s="7">
        <v>27</v>
      </c>
      <c r="D24" t="str">
        <f t="shared" ca="1" si="2"/>
        <v>72, 70, 80, 39, 83, 60, 77, 27, 43, 80</v>
      </c>
      <c r="E24" s="54" cm="1">
        <f t="array" aca="1" ref="E24" ca="1">AverageStipeDiameter(D24)</f>
        <v>63.1</v>
      </c>
      <c r="F24" s="29">
        <v>29</v>
      </c>
      <c r="G24" s="7"/>
      <c r="H24" s="7"/>
      <c r="I24" s="43"/>
      <c r="J24" s="92" cm="1">
        <f t="array" ref="J24">AverageStipeDiameter(I24)</f>
        <v>0</v>
      </c>
    </row>
    <row r="25" spans="1:10" x14ac:dyDescent="0.35">
      <c r="A25" s="27">
        <v>10</v>
      </c>
      <c r="B25" s="7">
        <v>5</v>
      </c>
      <c r="C25" s="7">
        <v>14</v>
      </c>
      <c r="D25" t="str">
        <f t="shared" ca="1" si="2"/>
        <v>70, 22, 38, 37, 64, 75, 72, 67, 83, 30</v>
      </c>
      <c r="E25" s="54" cm="1">
        <f t="array" aca="1" ref="E25" ca="1">AverageStipeDiameter(D25)</f>
        <v>55.8</v>
      </c>
      <c r="F25" s="29">
        <v>30</v>
      </c>
      <c r="G25" s="7"/>
      <c r="H25" s="7"/>
      <c r="I25" s="43"/>
      <c r="J25" s="92" cm="1">
        <f t="array" ref="J25">AverageStipeDiameter(I25)</f>
        <v>0</v>
      </c>
    </row>
    <row r="26" spans="1:10" x14ac:dyDescent="0.35">
      <c r="A26" s="27">
        <v>11</v>
      </c>
      <c r="B26" s="7">
        <v>5</v>
      </c>
      <c r="C26" s="7">
        <v>25</v>
      </c>
      <c r="D26" t="str">
        <f t="shared" ca="1" si="2"/>
        <v>83, 76, 42, 55, 23, 46, 27, 80, 50, 66</v>
      </c>
      <c r="E26" s="54" cm="1">
        <f t="array" aca="1" ref="E26" ca="1">AverageStipeDiameter(D26)</f>
        <v>54.8</v>
      </c>
      <c r="F26" s="29">
        <v>31</v>
      </c>
      <c r="G26" s="7"/>
      <c r="H26" s="7"/>
      <c r="I26" s="43"/>
      <c r="J26" s="92" cm="1">
        <f t="array" ref="J26">AverageStipeDiameter(I26)</f>
        <v>0</v>
      </c>
    </row>
    <row r="27" spans="1:10" x14ac:dyDescent="0.35">
      <c r="A27" s="27">
        <v>12</v>
      </c>
      <c r="B27" s="7">
        <v>3</v>
      </c>
      <c r="C27" s="7">
        <v>26</v>
      </c>
      <c r="D27" t="str">
        <f t="shared" ca="1" si="2"/>
        <v>72, 34, 44, 43, 82, 52, 24, 81, 47, 43</v>
      </c>
      <c r="E27" s="54" cm="1">
        <f t="array" aca="1" ref="E27" ca="1">AverageStipeDiameter(D27)</f>
        <v>52.2</v>
      </c>
      <c r="F27" s="29">
        <v>32</v>
      </c>
      <c r="G27" s="7"/>
      <c r="H27" s="7"/>
      <c r="I27" s="43"/>
      <c r="J27" s="92" cm="1">
        <f t="array" ref="J27">AverageStipeDiameter(I27)</f>
        <v>0</v>
      </c>
    </row>
    <row r="28" spans="1:10" x14ac:dyDescent="0.35">
      <c r="A28" s="27">
        <v>13</v>
      </c>
      <c r="B28" s="7">
        <v>4</v>
      </c>
      <c r="C28" s="7">
        <v>14</v>
      </c>
      <c r="D28" t="str">
        <f t="shared" ca="1" si="2"/>
        <v>49, 28, 45, 60, 73, 70, 79, 21, 67, 52</v>
      </c>
      <c r="E28" s="54" cm="1">
        <f t="array" aca="1" ref="E28" ca="1">AverageStipeDiameter(D28)</f>
        <v>54.4</v>
      </c>
      <c r="F28" s="29">
        <v>33</v>
      </c>
      <c r="G28" s="7"/>
      <c r="H28" s="7"/>
      <c r="I28" s="43"/>
      <c r="J28" s="92" cm="1">
        <f t="array" ref="J28">AverageStipeDiameter(I28)</f>
        <v>0</v>
      </c>
    </row>
    <row r="29" spans="1:10" x14ac:dyDescent="0.35">
      <c r="A29" s="27">
        <v>14</v>
      </c>
      <c r="B29" s="7">
        <v>1</v>
      </c>
      <c r="C29" s="7">
        <f ca="1">RANDBETWEEN(1,25)</f>
        <v>11</v>
      </c>
      <c r="D29" t="str">
        <f t="shared" ca="1" si="2"/>
        <v>55, 85, 58, 44, 31, 72, 77, 50, 77, 28</v>
      </c>
      <c r="E29" s="54" cm="1">
        <f t="array" aca="1" ref="E29" ca="1">AverageStipeDiameter(D29)</f>
        <v>57.7</v>
      </c>
      <c r="F29" s="29">
        <v>34</v>
      </c>
      <c r="G29" s="7"/>
      <c r="H29" s="7"/>
      <c r="I29" s="43"/>
      <c r="J29" s="92" cm="1">
        <f t="array" ref="J29">AverageStipeDiameter(I29)</f>
        <v>0</v>
      </c>
    </row>
    <row r="30" spans="1:10" x14ac:dyDescent="0.35">
      <c r="A30" s="27">
        <v>15</v>
      </c>
      <c r="B30" s="7">
        <v>1</v>
      </c>
      <c r="C30" s="7">
        <f t="shared" ref="C30:C35" ca="1" si="3">RANDBETWEEN(1,25)</f>
        <v>10</v>
      </c>
      <c r="D30" t="str">
        <f t="shared" ca="1" si="2"/>
        <v>31, 52, 54, 25, 78, 84, 62, 21, 40, 72</v>
      </c>
      <c r="E30" s="54" cm="1">
        <f t="array" aca="1" ref="E30" ca="1">AverageStipeDiameter(D30)</f>
        <v>51.9</v>
      </c>
      <c r="F30" s="29">
        <v>35</v>
      </c>
      <c r="G30" s="7"/>
      <c r="H30" s="7"/>
      <c r="I30" s="43"/>
      <c r="J30" s="92" cm="1">
        <f t="array" ref="J30">AverageStipeDiameter(I30)</f>
        <v>0</v>
      </c>
    </row>
    <row r="31" spans="1:10" x14ac:dyDescent="0.35">
      <c r="A31" s="27">
        <v>16</v>
      </c>
      <c r="B31" s="7">
        <v>0</v>
      </c>
      <c r="C31" s="7">
        <f t="shared" ca="1" si="3"/>
        <v>20</v>
      </c>
      <c r="D31" t="str">
        <f t="shared" ca="1" si="2"/>
        <v>75, 51, 81, 67, 39, 70, 71, 69, 69, 46</v>
      </c>
      <c r="E31" s="54" cm="1">
        <f t="array" aca="1" ref="E31" ca="1">AverageStipeDiameter(D31)</f>
        <v>63.8</v>
      </c>
      <c r="F31" s="29">
        <v>36</v>
      </c>
      <c r="G31" s="7"/>
      <c r="H31" s="7"/>
      <c r="I31" s="43"/>
      <c r="J31" s="92" cm="1">
        <f t="array" ref="J31">AverageStipeDiameter(I31)</f>
        <v>0</v>
      </c>
    </row>
    <row r="32" spans="1:10" x14ac:dyDescent="0.35">
      <c r="A32" s="27">
        <v>17</v>
      </c>
      <c r="B32" s="7">
        <v>1</v>
      </c>
      <c r="C32" s="7">
        <f t="shared" ca="1" si="3"/>
        <v>19</v>
      </c>
      <c r="D32" t="str">
        <f t="shared" ca="1" si="2"/>
        <v>48, 34, 43, 66, 64, 58, 67, 78, 83, 38</v>
      </c>
      <c r="E32" s="54" cm="1">
        <f t="array" aca="1" ref="E32" ca="1">AverageStipeDiameter(D32)</f>
        <v>57.9</v>
      </c>
      <c r="F32" s="29">
        <v>37</v>
      </c>
      <c r="G32" s="7"/>
      <c r="H32" s="7"/>
      <c r="I32" s="43"/>
      <c r="J32" s="92" cm="1">
        <f t="array" ref="J32">AverageStipeDiameter(I32)</f>
        <v>0</v>
      </c>
    </row>
    <row r="33" spans="1:10" x14ac:dyDescent="0.35">
      <c r="A33" s="27">
        <v>18</v>
      </c>
      <c r="B33" s="7">
        <v>2</v>
      </c>
      <c r="C33" s="7">
        <f t="shared" ca="1" si="3"/>
        <v>3</v>
      </c>
      <c r="D33" t="str">
        <f t="shared" ca="1" si="2"/>
        <v>41, 40, 68, 24, 66, 64, 36, 33, 36, 47</v>
      </c>
      <c r="E33" s="54" cm="1">
        <f t="array" aca="1" ref="E33" ca="1">AverageStipeDiameter(D33)</f>
        <v>45.5</v>
      </c>
      <c r="F33" s="29">
        <v>38</v>
      </c>
      <c r="G33" s="7"/>
      <c r="H33" s="7"/>
      <c r="I33" s="43"/>
      <c r="J33" s="92" cm="1">
        <f t="array" ref="J33">AverageStipeDiameter(I33)</f>
        <v>0</v>
      </c>
    </row>
    <row r="34" spans="1:10" x14ac:dyDescent="0.35">
      <c r="A34" s="27">
        <v>19</v>
      </c>
      <c r="B34" s="7">
        <v>2</v>
      </c>
      <c r="C34" s="7">
        <f t="shared" ca="1" si="3"/>
        <v>6</v>
      </c>
      <c r="D34" t="str">
        <f t="shared" ca="1" si="2"/>
        <v>28, 79, 70, 28, 84, 44, 74, 22, 66, 37</v>
      </c>
      <c r="E34" s="54" cm="1">
        <f t="array" aca="1" ref="E34" ca="1">AverageStipeDiameter(D34)</f>
        <v>53.2</v>
      </c>
      <c r="F34" s="29">
        <v>39</v>
      </c>
      <c r="G34" s="7"/>
      <c r="H34" s="7"/>
      <c r="I34" s="43"/>
      <c r="J34" s="92" cm="1">
        <f t="array" ref="J34">AverageStipeDiameter(I34)</f>
        <v>0</v>
      </c>
    </row>
    <row r="35" spans="1:10" ht="15" thickBot="1" x14ac:dyDescent="0.4">
      <c r="A35" s="28">
        <v>20</v>
      </c>
      <c r="B35" s="8">
        <v>1</v>
      </c>
      <c r="C35" s="7">
        <f t="shared" ca="1" si="3"/>
        <v>5</v>
      </c>
      <c r="D35" t="str">
        <f t="shared" ca="1" si="2"/>
        <v>60, 54, 66, 27, 22, 41, 85, 61, 33, 53</v>
      </c>
      <c r="E35" s="93" cm="1">
        <f t="array" aca="1" ref="E35" ca="1">AverageStipeDiameter(D35)</f>
        <v>50.2</v>
      </c>
      <c r="F35" s="30">
        <v>40</v>
      </c>
      <c r="G35" s="8"/>
      <c r="H35" s="8"/>
      <c r="I35" s="44"/>
      <c r="J35" s="94" cm="1">
        <f t="array" ref="J35">AverageStipeDiameter(I35)</f>
        <v>0</v>
      </c>
    </row>
    <row r="36" spans="1:10" ht="17" thickBot="1" x14ac:dyDescent="0.4">
      <c r="A36" s="188" t="s">
        <v>133</v>
      </c>
      <c r="B36" s="189"/>
      <c r="C36" s="80">
        <v>1000</v>
      </c>
    </row>
    <row r="37" spans="1:10" ht="17" thickBot="1" x14ac:dyDescent="0.4">
      <c r="A37" s="186" t="s">
        <v>134</v>
      </c>
      <c r="B37" s="187"/>
      <c r="C37" s="81">
        <v>1200</v>
      </c>
    </row>
    <row r="38" spans="1:10" ht="15" thickBot="1" x14ac:dyDescent="0.4">
      <c r="A38" s="182" t="s">
        <v>135</v>
      </c>
      <c r="B38" s="183"/>
      <c r="C38" s="78" cm="1">
        <f t="array" ref="C38">Bryozoans(B16:B35,G16:G35)</f>
        <v>51.7</v>
      </c>
    </row>
    <row r="39" spans="1:10" ht="15" thickBot="1" x14ac:dyDescent="0.4">
      <c r="A39" s="184" t="s">
        <v>136</v>
      </c>
      <c r="B39" s="185"/>
      <c r="C39" s="79" cm="1">
        <f t="array" aca="1" ref="C39" ca="1">AverageCSVcols(D16:D35,I16:I35)</f>
        <v>54.129629629629626</v>
      </c>
    </row>
    <row r="40" spans="1:10" ht="15" thickBot="1" x14ac:dyDescent="0.4">
      <c r="A40" s="186" t="s">
        <v>137</v>
      </c>
      <c r="B40" s="187"/>
      <c r="C40" s="77">
        <f ca="1">AVERAGE(C16:C35,H16:H35)</f>
        <v>14.111111111111111</v>
      </c>
    </row>
  </sheetData>
  <mergeCells count="24">
    <mergeCell ref="A36:B36"/>
    <mergeCell ref="A37:B37"/>
    <mergeCell ref="A38:B38"/>
    <mergeCell ref="A39:B39"/>
    <mergeCell ref="A40:B40"/>
    <mergeCell ref="A14:J14"/>
    <mergeCell ref="A5:B5"/>
    <mergeCell ref="C5:D5"/>
    <mergeCell ref="A6:B6"/>
    <mergeCell ref="C6:D6"/>
    <mergeCell ref="A7:F7"/>
    <mergeCell ref="G8:J8"/>
    <mergeCell ref="I9:J9"/>
    <mergeCell ref="I10:J10"/>
    <mergeCell ref="I11:J11"/>
    <mergeCell ref="I12:J12"/>
    <mergeCell ref="H13:J13"/>
    <mergeCell ref="A4:B4"/>
    <mergeCell ref="C4:D4"/>
    <mergeCell ref="A1:J1"/>
    <mergeCell ref="A2:B2"/>
    <mergeCell ref="C2:D2"/>
    <mergeCell ref="A3:B3"/>
    <mergeCell ref="C3:D3"/>
  </mergeCell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C28F2-5C60-47EE-8333-1E295D14A7B9}">
  <sheetPr codeName="Sheet25">
    <tabColor theme="8" tint="0.79998168889431442"/>
  </sheetPr>
  <dimension ref="A1:J40"/>
  <sheetViews>
    <sheetView zoomScale="80" zoomScaleNormal="80" workbookViewId="0">
      <selection activeCell="C3" sqref="C3:D3"/>
    </sheetView>
  </sheetViews>
  <sheetFormatPr defaultRowHeight="14.5" x14ac:dyDescent="0.35"/>
  <cols>
    <col min="1" max="1" width="12.54296875" customWidth="1"/>
    <col min="2" max="2" width="12.1796875" bestFit="1" customWidth="1"/>
    <col min="3" max="3" width="10.1796875" customWidth="1"/>
    <col min="4" max="4" width="27" customWidth="1"/>
    <col min="5" max="5" width="21.1796875" customWidth="1"/>
    <col min="6" max="6" width="9.1796875" customWidth="1"/>
    <col min="7" max="7" width="20.81640625" customWidth="1"/>
    <col min="8" max="8" width="12.1796875" bestFit="1" customWidth="1"/>
    <col min="9" max="9" width="17.81640625" bestFit="1" customWidth="1"/>
    <col min="10" max="10" width="10.81640625" customWidth="1"/>
  </cols>
  <sheetData>
    <row r="1" spans="1:10" ht="15" thickBot="1" x14ac:dyDescent="0.4">
      <c r="A1" s="191" t="s">
        <v>66</v>
      </c>
      <c r="B1" s="192"/>
      <c r="C1" s="157"/>
      <c r="D1" s="157"/>
      <c r="E1" s="192"/>
      <c r="F1" s="192"/>
      <c r="G1" s="192"/>
      <c r="H1" s="192"/>
      <c r="I1" s="192"/>
      <c r="J1" s="193"/>
    </row>
    <row r="2" spans="1:10" x14ac:dyDescent="0.35">
      <c r="A2" s="217" t="s">
        <v>67</v>
      </c>
      <c r="B2" s="165"/>
      <c r="C2" s="220" t="s">
        <v>68</v>
      </c>
      <c r="D2" s="221"/>
      <c r="E2" s="13" t="s">
        <v>69</v>
      </c>
      <c r="F2" s="9"/>
      <c r="G2" s="18" t="s">
        <v>70</v>
      </c>
      <c r="H2" s="17"/>
      <c r="I2" s="19" t="s">
        <v>71</v>
      </c>
      <c r="J2" s="16"/>
    </row>
    <row r="3" spans="1:10" x14ac:dyDescent="0.35">
      <c r="A3" s="177" t="s">
        <v>72</v>
      </c>
      <c r="B3" s="172"/>
      <c r="C3" s="151" t="s">
        <v>174</v>
      </c>
      <c r="D3" s="219"/>
      <c r="E3" s="14" t="s">
        <v>73</v>
      </c>
      <c r="F3" s="12"/>
      <c r="G3" s="20" t="s">
        <v>74</v>
      </c>
      <c r="H3" s="20" t="s">
        <v>75</v>
      </c>
      <c r="I3" s="20" t="s">
        <v>76</v>
      </c>
      <c r="J3" s="22" t="s">
        <v>77</v>
      </c>
    </row>
    <row r="4" spans="1:10" x14ac:dyDescent="0.35">
      <c r="A4" s="177" t="s">
        <v>141</v>
      </c>
      <c r="B4" s="172"/>
      <c r="C4" s="151">
        <v>2024</v>
      </c>
      <c r="D4" s="219"/>
      <c r="E4" s="14"/>
      <c r="F4" s="12"/>
      <c r="G4" s="20"/>
      <c r="H4" s="20"/>
      <c r="I4" s="20"/>
      <c r="J4" s="22"/>
    </row>
    <row r="5" spans="1:10" x14ac:dyDescent="0.35">
      <c r="A5" s="177" t="s">
        <v>79</v>
      </c>
      <c r="B5" s="172"/>
      <c r="C5" s="153">
        <v>45489</v>
      </c>
      <c r="D5" s="219"/>
      <c r="E5" s="105" t="s">
        <v>80</v>
      </c>
      <c r="F5" s="10"/>
      <c r="G5" s="20" t="s">
        <v>81</v>
      </c>
      <c r="H5" s="3"/>
      <c r="I5" s="3"/>
      <c r="J5" s="4"/>
    </row>
    <row r="6" spans="1:10" ht="15" thickBot="1" x14ac:dyDescent="0.4">
      <c r="A6" s="218" t="s">
        <v>82</v>
      </c>
      <c r="B6" s="190"/>
      <c r="C6" s="154" t="s">
        <v>83</v>
      </c>
      <c r="D6" s="222"/>
      <c r="E6" s="15"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5</v>
      </c>
      <c r="C16" s="7">
        <v>10</v>
      </c>
      <c r="D16" t="str">
        <f ca="1">_xlfn.TEXTJOIN(", ", TRUE, RANDBETWEEN(20, 85), RANDBETWEEN(20, 85), RANDBETWEEN(20, 85), RANDBETWEEN(20, 85), RANDBETWEEN(20, 85), RANDBETWEEN(20, 85), RANDBETWEEN(20, 85), RANDBETWEEN(20, 85), RANDBETWEEN(20, 85), RANDBETWEEN(20, 85))</f>
        <v>79, 66, 32, 26, 38, 61, 31, 78, 29, 47</v>
      </c>
      <c r="E16" s="54" cm="1">
        <f t="array" aca="1" ref="E16" ca="1">AverageStipeDiameter(D16)</f>
        <v>48.7</v>
      </c>
      <c r="F16" s="29">
        <v>21</v>
      </c>
      <c r="G16" s="7"/>
      <c r="H16" s="7"/>
      <c r="J16" s="92" cm="1">
        <f t="array" ref="J16">AverageStipeDiameter(I16)</f>
        <v>0</v>
      </c>
    </row>
    <row r="17" spans="1:10" x14ac:dyDescent="0.35">
      <c r="A17" s="27">
        <v>2</v>
      </c>
      <c r="B17" s="7">
        <v>5</v>
      </c>
      <c r="C17" s="7">
        <v>17</v>
      </c>
      <c r="D17" t="str">
        <f t="shared" ref="D17:D32" ca="1" si="0">_xlfn.TEXTJOIN(", ", TRUE, RANDBETWEEN(20, 85), RANDBETWEEN(20, 85), RANDBETWEEN(20, 85), RANDBETWEEN(20, 85), RANDBETWEEN(20, 85), RANDBETWEEN(20, 85), RANDBETWEEN(20, 85), RANDBETWEEN(20, 85), RANDBETWEEN(20, 85), RANDBETWEEN(20, 85))</f>
        <v>53, 83, 42, 36, 33, 37, 41, 66, 73, 30</v>
      </c>
      <c r="E17" s="54" cm="1">
        <f t="array" aca="1" ref="E17" ca="1">AverageStipeDiameter(D17)</f>
        <v>49.4</v>
      </c>
      <c r="F17" s="29">
        <v>22</v>
      </c>
      <c r="G17" s="7"/>
      <c r="H17" s="7"/>
      <c r="I17" s="43"/>
      <c r="J17" s="92" cm="1">
        <f t="array" ref="J17">AverageStipeDiameter(I17)</f>
        <v>0</v>
      </c>
    </row>
    <row r="18" spans="1:10" x14ac:dyDescent="0.35">
      <c r="A18" s="27">
        <v>3</v>
      </c>
      <c r="B18" s="7">
        <v>5</v>
      </c>
      <c r="C18" s="7">
        <v>21</v>
      </c>
      <c r="D18" t="str">
        <f t="shared" ca="1" si="0"/>
        <v>27, 81, 48, 79, 79, 20, 85, 34, 46, 71</v>
      </c>
      <c r="E18" s="54" cm="1">
        <f t="array" aca="1" ref="E18" ca="1">AverageStipeDiameter(D18)</f>
        <v>57</v>
      </c>
      <c r="F18" s="29">
        <v>23</v>
      </c>
      <c r="G18" s="7"/>
      <c r="H18" s="7"/>
      <c r="I18" s="43"/>
      <c r="J18" s="92" cm="1">
        <f t="array" ref="J18">AverageStipeDiameter(I18)</f>
        <v>0</v>
      </c>
    </row>
    <row r="19" spans="1:10" x14ac:dyDescent="0.35">
      <c r="A19" s="27">
        <v>4</v>
      </c>
      <c r="B19" s="7">
        <v>5</v>
      </c>
      <c r="C19" s="7">
        <v>23</v>
      </c>
      <c r="D19" t="str">
        <f t="shared" ca="1" si="0"/>
        <v>30, 31, 54, 80, 81, 37, 76, 42, 57, 65</v>
      </c>
      <c r="E19" s="54" cm="1">
        <f t="array" aca="1" ref="E19" ca="1">AverageStipeDiameter(D19)</f>
        <v>55.3</v>
      </c>
      <c r="F19" s="29">
        <v>24</v>
      </c>
      <c r="G19" s="7"/>
      <c r="H19" s="7"/>
      <c r="I19" s="43"/>
      <c r="J19" s="92" cm="1">
        <f t="array" ref="J19">AverageStipeDiameter(I19)</f>
        <v>0</v>
      </c>
    </row>
    <row r="20" spans="1:10" x14ac:dyDescent="0.35">
      <c r="A20" s="27">
        <v>5</v>
      </c>
      <c r="B20" s="7">
        <v>5</v>
      </c>
      <c r="C20" s="7">
        <v>5</v>
      </c>
      <c r="D20" t="str">
        <f t="shared" ca="1" si="0"/>
        <v>33, 21, 80, 34, 73, 41, 31, 27, 24, 44</v>
      </c>
      <c r="E20" s="54" cm="1">
        <f t="array" aca="1" ref="E20" ca="1">AverageStipeDiameter(D20)</f>
        <v>40.799999999999997</v>
      </c>
      <c r="F20" s="29">
        <v>25</v>
      </c>
      <c r="G20" s="7"/>
      <c r="H20" s="7"/>
      <c r="I20" s="43"/>
      <c r="J20" s="92" cm="1">
        <f t="array" ref="J20">AverageStipeDiameter(I20)</f>
        <v>0</v>
      </c>
    </row>
    <row r="21" spans="1:10" x14ac:dyDescent="0.35">
      <c r="A21" s="27">
        <v>6</v>
      </c>
      <c r="B21" s="7">
        <v>5</v>
      </c>
      <c r="C21" s="7">
        <v>7</v>
      </c>
      <c r="D21" t="str">
        <f t="shared" ca="1" si="0"/>
        <v>23, 37, 76, 83, 35, 52, 35, 70, 73, 35</v>
      </c>
      <c r="E21" s="54" cm="1">
        <f t="array" aca="1" ref="E21" ca="1">AverageStipeDiameter(D21)</f>
        <v>51.9</v>
      </c>
      <c r="F21" s="29">
        <v>26</v>
      </c>
      <c r="G21" s="7"/>
      <c r="H21" s="7"/>
      <c r="I21" s="43"/>
      <c r="J21" s="92" cm="1">
        <f t="array" ref="J21">AverageStipeDiameter(I21)</f>
        <v>0</v>
      </c>
    </row>
    <row r="22" spans="1:10" x14ac:dyDescent="0.35">
      <c r="A22" s="27">
        <v>7</v>
      </c>
      <c r="B22" s="7">
        <v>5</v>
      </c>
      <c r="C22" s="7">
        <v>28</v>
      </c>
      <c r="D22" t="str">
        <f t="shared" ca="1" si="0"/>
        <v>40, 45, 37, 55, 61, 27, 32, 41, 42, 79</v>
      </c>
      <c r="E22" s="54" cm="1">
        <f t="array" aca="1" ref="E22" ca="1">AverageStipeDiameter(D22)</f>
        <v>45.9</v>
      </c>
      <c r="F22" s="29">
        <v>27</v>
      </c>
      <c r="G22" s="7"/>
      <c r="H22" s="7"/>
      <c r="I22" s="43"/>
      <c r="J22" s="92" cm="1">
        <f t="array" ref="J22">AverageStipeDiameter(I22)</f>
        <v>0</v>
      </c>
    </row>
    <row r="23" spans="1:10" x14ac:dyDescent="0.35">
      <c r="A23" s="27">
        <v>8</v>
      </c>
      <c r="B23" s="7">
        <v>4</v>
      </c>
      <c r="C23" s="7">
        <v>15</v>
      </c>
      <c r="D23" t="str">
        <f t="shared" ca="1" si="0"/>
        <v>37, 65, 69, 42, 21, 41, 58, 76, 23, 81</v>
      </c>
      <c r="E23" s="54" cm="1">
        <f t="array" aca="1" ref="E23" ca="1">AverageStipeDiameter(D23)</f>
        <v>51.3</v>
      </c>
      <c r="F23" s="29">
        <v>28</v>
      </c>
      <c r="G23" s="7"/>
      <c r="H23" s="7"/>
      <c r="I23" s="43"/>
      <c r="J23" s="92" cm="1">
        <f t="array" ref="J23">AverageStipeDiameter(I23)</f>
        <v>0</v>
      </c>
    </row>
    <row r="24" spans="1:10" x14ac:dyDescent="0.35">
      <c r="A24" s="27">
        <v>9</v>
      </c>
      <c r="B24" s="7">
        <v>5</v>
      </c>
      <c r="C24" s="7">
        <v>27</v>
      </c>
      <c r="D24" t="str">
        <f t="shared" ca="1" si="0"/>
        <v>46, 50, 75, 38, 49, 27, 43, 76, 23, 32</v>
      </c>
      <c r="E24" s="54" cm="1">
        <f t="array" aca="1" ref="E24" ca="1">AverageStipeDiameter(D24)</f>
        <v>45.9</v>
      </c>
      <c r="F24" s="29">
        <v>29</v>
      </c>
      <c r="G24" s="7"/>
      <c r="H24" s="7"/>
      <c r="I24" s="43"/>
      <c r="J24" s="92" cm="1">
        <f t="array" ref="J24">AverageStipeDiameter(I24)</f>
        <v>0</v>
      </c>
    </row>
    <row r="25" spans="1:10" x14ac:dyDescent="0.35">
      <c r="A25" s="27">
        <v>10</v>
      </c>
      <c r="B25" s="7">
        <v>5</v>
      </c>
      <c r="C25" s="7">
        <v>14</v>
      </c>
      <c r="D25" t="str">
        <f t="shared" ca="1" si="0"/>
        <v>47, 27, 85, 83, 51, 72, 30, 66, 61, 64</v>
      </c>
      <c r="E25" s="54" cm="1">
        <f t="array" aca="1" ref="E25" ca="1">AverageStipeDiameter(D25)</f>
        <v>58.6</v>
      </c>
      <c r="F25" s="29">
        <v>30</v>
      </c>
      <c r="G25" s="7"/>
      <c r="H25" s="7"/>
      <c r="I25" s="43"/>
      <c r="J25" s="92" cm="1">
        <f t="array" ref="J25">AverageStipeDiameter(I25)</f>
        <v>0</v>
      </c>
    </row>
    <row r="26" spans="1:10" x14ac:dyDescent="0.35">
      <c r="A26" s="27">
        <v>11</v>
      </c>
      <c r="B26" s="7">
        <v>5</v>
      </c>
      <c r="C26" s="7">
        <v>25</v>
      </c>
      <c r="D26" t="str">
        <f t="shared" ca="1" si="0"/>
        <v>56, 76, 28, 40, 77, 84, 21, 41, 43, 83</v>
      </c>
      <c r="E26" s="54" cm="1">
        <f t="array" aca="1" ref="E26" ca="1">AverageStipeDiameter(D26)</f>
        <v>54.9</v>
      </c>
      <c r="F26" s="29">
        <v>31</v>
      </c>
      <c r="G26" s="7"/>
      <c r="H26" s="7"/>
      <c r="I26" s="43"/>
      <c r="J26" s="92" cm="1">
        <f t="array" ref="J26">AverageStipeDiameter(I26)</f>
        <v>0</v>
      </c>
    </row>
    <row r="27" spans="1:10" x14ac:dyDescent="0.35">
      <c r="A27" s="27">
        <v>12</v>
      </c>
      <c r="B27" s="7">
        <v>3</v>
      </c>
      <c r="C27" s="7">
        <v>26</v>
      </c>
      <c r="D27" t="str">
        <f t="shared" ca="1" si="0"/>
        <v>73, 63, 23, 68, 48, 70, 72, 75, 23, 60</v>
      </c>
      <c r="E27" s="54" cm="1">
        <f t="array" aca="1" ref="E27" ca="1">AverageStipeDiameter(D27)</f>
        <v>57.5</v>
      </c>
      <c r="F27" s="29">
        <v>32</v>
      </c>
      <c r="G27" s="7"/>
      <c r="H27" s="7"/>
      <c r="I27" s="43"/>
      <c r="J27" s="92" cm="1">
        <f t="array" ref="J27">AverageStipeDiameter(I27)</f>
        <v>0</v>
      </c>
    </row>
    <row r="28" spans="1:10" x14ac:dyDescent="0.35">
      <c r="A28" s="27">
        <v>13</v>
      </c>
      <c r="B28" s="7">
        <v>4</v>
      </c>
      <c r="C28" s="7">
        <v>14</v>
      </c>
      <c r="D28" t="str">
        <f t="shared" ca="1" si="0"/>
        <v>54, 50, 69, 69, 66, 32, 36, 60, 70, 64</v>
      </c>
      <c r="E28" s="54" cm="1">
        <f t="array" aca="1" ref="E28" ca="1">AverageStipeDiameter(D28)</f>
        <v>57</v>
      </c>
      <c r="F28" s="29">
        <v>33</v>
      </c>
      <c r="G28" s="7"/>
      <c r="H28" s="7"/>
      <c r="I28" s="43"/>
      <c r="J28" s="92" cm="1">
        <f t="array" ref="J28">AverageStipeDiameter(I28)</f>
        <v>0</v>
      </c>
    </row>
    <row r="29" spans="1:10" x14ac:dyDescent="0.35">
      <c r="A29" s="27">
        <v>14</v>
      </c>
      <c r="B29" s="7">
        <v>0</v>
      </c>
      <c r="C29" s="7">
        <v>12</v>
      </c>
      <c r="D29" t="str">
        <f t="shared" ca="1" si="0"/>
        <v>52, 61, 55, 72, 43, 62, 46, 84, 33, 35</v>
      </c>
      <c r="E29" s="54" cm="1">
        <f t="array" aca="1" ref="E29" ca="1">AverageStipeDiameter(D29)</f>
        <v>54.3</v>
      </c>
      <c r="F29" s="29">
        <v>34</v>
      </c>
      <c r="G29" s="7"/>
      <c r="H29" s="7"/>
      <c r="I29" s="43"/>
      <c r="J29" s="92" cm="1">
        <f t="array" ref="J29">AverageStipeDiameter(I29)</f>
        <v>0</v>
      </c>
    </row>
    <row r="30" spans="1:10" x14ac:dyDescent="0.35">
      <c r="A30" s="27">
        <v>15</v>
      </c>
      <c r="B30" s="7">
        <v>0</v>
      </c>
      <c r="C30" s="7">
        <v>17</v>
      </c>
      <c r="D30" t="str">
        <f t="shared" ca="1" si="0"/>
        <v>70, 68, 59, 67, 41, 39, 31, 83, 80, 48</v>
      </c>
      <c r="E30" s="54" cm="1">
        <f t="array" aca="1" ref="E30" ca="1">AverageStipeDiameter(D30)</f>
        <v>58.6</v>
      </c>
      <c r="F30" s="29">
        <v>35</v>
      </c>
      <c r="G30" s="7"/>
      <c r="H30" s="7"/>
      <c r="I30" s="43"/>
      <c r="J30" s="92" cm="1">
        <f t="array" ref="J30">AverageStipeDiameter(I30)</f>
        <v>0</v>
      </c>
    </row>
    <row r="31" spans="1:10" x14ac:dyDescent="0.35">
      <c r="A31" s="27">
        <v>16</v>
      </c>
      <c r="B31" s="7">
        <v>1</v>
      </c>
      <c r="C31" s="7">
        <v>22</v>
      </c>
      <c r="D31" t="str">
        <f t="shared" ca="1" si="0"/>
        <v>85, 83, 85, 35, 46, 42, 40, 61, 67, 25</v>
      </c>
      <c r="E31" s="54" cm="1">
        <f t="array" aca="1" ref="E31" ca="1">AverageStipeDiameter(D31)</f>
        <v>56.9</v>
      </c>
      <c r="F31" s="29">
        <v>36</v>
      </c>
      <c r="G31" s="7"/>
      <c r="H31" s="7"/>
      <c r="I31" s="43"/>
      <c r="J31" s="92" cm="1">
        <f t="array" ref="J31">AverageStipeDiameter(I31)</f>
        <v>0</v>
      </c>
    </row>
    <row r="32" spans="1:10" x14ac:dyDescent="0.35">
      <c r="A32" s="27">
        <v>17</v>
      </c>
      <c r="B32" s="7">
        <v>0.5</v>
      </c>
      <c r="C32" s="7">
        <v>19</v>
      </c>
      <c r="D32" t="str">
        <f t="shared" ca="1" si="0"/>
        <v>77, 59, 75, 61, 65, 64, 66, 33, 48, 77</v>
      </c>
      <c r="E32" s="54" cm="1">
        <f t="array" aca="1" ref="E32" ca="1">AverageStipeDiameter(D32)</f>
        <v>62.5</v>
      </c>
      <c r="F32" s="29">
        <v>37</v>
      </c>
      <c r="G32" s="7"/>
      <c r="H32" s="7"/>
      <c r="I32" s="43"/>
      <c r="J32" s="92" cm="1">
        <f t="array" ref="J32">AverageStipeDiameter(I32)</f>
        <v>0</v>
      </c>
    </row>
    <row r="33" spans="1:10" x14ac:dyDescent="0.35">
      <c r="A33" s="27">
        <v>18</v>
      </c>
      <c r="B33" s="7"/>
      <c r="C33" s="7"/>
      <c r="D33" s="142"/>
      <c r="E33" s="54" cm="1">
        <f t="array" ref="E33">AverageStipeDiameter(D33)</f>
        <v>0</v>
      </c>
      <c r="F33" s="29">
        <v>38</v>
      </c>
      <c r="G33" s="7"/>
      <c r="H33" s="7"/>
      <c r="I33" s="43"/>
      <c r="J33" s="92" cm="1">
        <f t="array" ref="J33">AverageStipeDiameter(I33)</f>
        <v>0</v>
      </c>
    </row>
    <row r="34" spans="1:10" x14ac:dyDescent="0.35">
      <c r="A34" s="27">
        <v>19</v>
      </c>
      <c r="B34" s="7"/>
      <c r="C34" s="7"/>
      <c r="D34" s="142"/>
      <c r="E34" s="54" cm="1">
        <f t="array" ref="E34">AverageStipeDiameter(D34)</f>
        <v>0</v>
      </c>
      <c r="F34" s="29">
        <v>39</v>
      </c>
      <c r="G34" s="7"/>
      <c r="H34" s="7"/>
      <c r="I34" s="43"/>
      <c r="J34" s="92" cm="1">
        <f t="array" ref="J34">AverageStipeDiameter(I34)</f>
        <v>0</v>
      </c>
    </row>
    <row r="35" spans="1:10" ht="15" thickBot="1" x14ac:dyDescent="0.4">
      <c r="A35" s="28">
        <v>20</v>
      </c>
      <c r="B35" s="8"/>
      <c r="C35" s="8"/>
      <c r="D35" s="51"/>
      <c r="E35" s="93" cm="1">
        <f t="array" ref="E35">AverageStipeDiameter(D35)</f>
        <v>0</v>
      </c>
      <c r="F35" s="30">
        <v>40</v>
      </c>
      <c r="G35" s="8"/>
      <c r="H35" s="8"/>
      <c r="I35" s="44"/>
      <c r="J35" s="94" cm="1">
        <f t="array" ref="J35">AverageStipeDiameter(I35)</f>
        <v>0</v>
      </c>
    </row>
    <row r="36" spans="1:10" ht="17" thickBot="1" x14ac:dyDescent="0.4">
      <c r="A36" s="188" t="s">
        <v>133</v>
      </c>
      <c r="B36" s="189"/>
      <c r="C36" s="80">
        <v>800</v>
      </c>
    </row>
    <row r="37" spans="1:10" ht="17" thickBot="1" x14ac:dyDescent="0.4">
      <c r="A37" s="186" t="s">
        <v>134</v>
      </c>
      <c r="B37" s="187"/>
      <c r="C37" s="81">
        <v>1200</v>
      </c>
    </row>
    <row r="38" spans="1:10" ht="15" thickBot="1" x14ac:dyDescent="0.4">
      <c r="A38" s="182" t="s">
        <v>135</v>
      </c>
      <c r="B38" s="183"/>
      <c r="C38" s="78" cm="1">
        <f t="array" ref="C38">Bryozoans(B16:B35,G16:G35)</f>
        <v>73.666666666666671</v>
      </c>
    </row>
    <row r="39" spans="1:10" ht="15" thickBot="1" x14ac:dyDescent="0.4">
      <c r="A39" s="184" t="s">
        <v>136</v>
      </c>
      <c r="B39" s="185"/>
      <c r="C39" s="79" cm="1">
        <f t="array" aca="1" ref="C39" ca="1">AverageCSVcols(D16:D35,I16:I35)</f>
        <v>53.323529411764703</v>
      </c>
    </row>
    <row r="40" spans="1:10" ht="15" thickBot="1" x14ac:dyDescent="0.4">
      <c r="A40" s="186" t="s">
        <v>137</v>
      </c>
      <c r="B40" s="187"/>
      <c r="C40" s="77">
        <f>AVERAGE(C16:C35,H16:H35)</f>
        <v>17.764705882352942</v>
      </c>
    </row>
  </sheetData>
  <mergeCells count="24">
    <mergeCell ref="A36:B36"/>
    <mergeCell ref="A37:B37"/>
    <mergeCell ref="A38:B38"/>
    <mergeCell ref="A39:B39"/>
    <mergeCell ref="A40:B40"/>
    <mergeCell ref="A14:J14"/>
    <mergeCell ref="A5:B5"/>
    <mergeCell ref="C5:D5"/>
    <mergeCell ref="A6:B6"/>
    <mergeCell ref="C6:D6"/>
    <mergeCell ref="A7:F7"/>
    <mergeCell ref="G8:J8"/>
    <mergeCell ref="I9:J9"/>
    <mergeCell ref="I10:J10"/>
    <mergeCell ref="I11:J11"/>
    <mergeCell ref="I12:J12"/>
    <mergeCell ref="H13:J13"/>
    <mergeCell ref="A4:B4"/>
    <mergeCell ref="C4:D4"/>
    <mergeCell ref="A1:J1"/>
    <mergeCell ref="A2:B2"/>
    <mergeCell ref="C2:D2"/>
    <mergeCell ref="A3:B3"/>
    <mergeCell ref="C3:D3"/>
  </mergeCell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6EEEE-5474-4F2E-B50D-2CB7F306719A}">
  <sheetPr codeName="Sheet26">
    <tabColor theme="8" tint="0.79998168889431442"/>
  </sheetPr>
  <dimension ref="A1:J40"/>
  <sheetViews>
    <sheetView zoomScale="80" zoomScaleNormal="80" workbookViewId="0">
      <selection activeCell="C3" sqref="C3:D3"/>
    </sheetView>
  </sheetViews>
  <sheetFormatPr defaultRowHeight="14.5" x14ac:dyDescent="0.35"/>
  <cols>
    <col min="1" max="1" width="12.54296875" customWidth="1"/>
    <col min="2" max="2" width="12.1796875" bestFit="1" customWidth="1"/>
    <col min="3" max="3" width="10.1796875" customWidth="1"/>
    <col min="4" max="4" width="27" customWidth="1"/>
    <col min="5" max="5" width="21.1796875" customWidth="1"/>
    <col min="6" max="6" width="9.1796875" customWidth="1"/>
    <col min="7" max="7" width="20.81640625" customWidth="1"/>
    <col min="8" max="8" width="12.1796875" bestFit="1" customWidth="1"/>
    <col min="9" max="9" width="17.81640625" bestFit="1" customWidth="1"/>
    <col min="10" max="10" width="10.81640625" customWidth="1"/>
  </cols>
  <sheetData>
    <row r="1" spans="1:10" ht="15" thickBot="1" x14ac:dyDescent="0.4">
      <c r="A1" s="191" t="s">
        <v>66</v>
      </c>
      <c r="B1" s="192"/>
      <c r="C1" s="157"/>
      <c r="D1" s="157"/>
      <c r="E1" s="192"/>
      <c r="F1" s="192"/>
      <c r="G1" s="192"/>
      <c r="H1" s="192"/>
      <c r="I1" s="192"/>
      <c r="J1" s="193"/>
    </row>
    <row r="2" spans="1:10" x14ac:dyDescent="0.35">
      <c r="A2" s="217" t="s">
        <v>67</v>
      </c>
      <c r="B2" s="165"/>
      <c r="C2" s="220" t="s">
        <v>138</v>
      </c>
      <c r="D2" s="221"/>
      <c r="E2" s="13" t="s">
        <v>69</v>
      </c>
      <c r="F2" s="9"/>
      <c r="G2" s="18" t="s">
        <v>70</v>
      </c>
      <c r="H2" s="17"/>
      <c r="I2" s="19" t="s">
        <v>71</v>
      </c>
      <c r="J2" s="16"/>
    </row>
    <row r="3" spans="1:10" x14ac:dyDescent="0.35">
      <c r="A3" s="177" t="s">
        <v>72</v>
      </c>
      <c r="B3" s="172"/>
      <c r="C3" s="151" t="s">
        <v>175</v>
      </c>
      <c r="D3" s="219"/>
      <c r="E3" s="14" t="s">
        <v>73</v>
      </c>
      <c r="F3" s="12"/>
      <c r="G3" s="20" t="s">
        <v>74</v>
      </c>
      <c r="H3" s="20" t="s">
        <v>75</v>
      </c>
      <c r="I3" s="20" t="s">
        <v>76</v>
      </c>
      <c r="J3" s="22" t="s">
        <v>77</v>
      </c>
    </row>
    <row r="4" spans="1:10" x14ac:dyDescent="0.35">
      <c r="A4" s="177" t="s">
        <v>141</v>
      </c>
      <c r="B4" s="172"/>
      <c r="C4" s="151">
        <v>2020</v>
      </c>
      <c r="D4" s="219"/>
      <c r="E4" s="14"/>
      <c r="F4" s="12"/>
      <c r="G4" s="20"/>
      <c r="H4" s="20"/>
      <c r="I4" s="20"/>
      <c r="J4" s="22"/>
    </row>
    <row r="5" spans="1:10" x14ac:dyDescent="0.35">
      <c r="A5" s="177" t="s">
        <v>79</v>
      </c>
      <c r="B5" s="172"/>
      <c r="C5" s="153">
        <v>44040</v>
      </c>
      <c r="D5" s="219"/>
      <c r="E5" s="105" t="s">
        <v>80</v>
      </c>
      <c r="F5" s="10"/>
      <c r="G5" s="20" t="s">
        <v>81</v>
      </c>
      <c r="H5" s="3"/>
      <c r="I5" s="3"/>
      <c r="J5" s="4"/>
    </row>
    <row r="6" spans="1:10" ht="15" thickBot="1" x14ac:dyDescent="0.4">
      <c r="A6" s="218" t="s">
        <v>82</v>
      </c>
      <c r="B6" s="190"/>
      <c r="C6" s="154" t="s">
        <v>83</v>
      </c>
      <c r="D6" s="222"/>
      <c r="E6" s="15"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5</v>
      </c>
      <c r="C16" s="7">
        <v>10</v>
      </c>
      <c r="D16" t="str">
        <f ca="1">_xlfn.TEXTJOIN(", ", TRUE, RANDBETWEEN(20, 85), RANDBETWEEN(20, 85), RANDBETWEEN(20, 85), RANDBETWEEN(20, 85), RANDBETWEEN(20, 85), RANDBETWEEN(20, 85), RANDBETWEEN(20, 85), RANDBETWEEN(20, 85), RANDBETWEEN(20, 85), RANDBETWEEN(20, 85))</f>
        <v>82, 66, 53, 67, 63, 25, 60, 43, 29, 78</v>
      </c>
      <c r="E16" s="54" cm="1">
        <f t="array" aca="1" ref="E16" ca="1">AverageStipeDiameter(D16)</f>
        <v>56.6</v>
      </c>
      <c r="F16" s="29">
        <v>21</v>
      </c>
      <c r="G16" s="7"/>
      <c r="H16" s="7"/>
      <c r="J16" s="92" cm="1">
        <f t="array" ref="J16">AverageStipeDiameter(I16)</f>
        <v>0</v>
      </c>
    </row>
    <row r="17" spans="1:10" x14ac:dyDescent="0.35">
      <c r="A17" s="27">
        <v>2</v>
      </c>
      <c r="B17" s="7">
        <v>5</v>
      </c>
      <c r="C17" s="7">
        <v>17</v>
      </c>
      <c r="D17" t="str">
        <f t="shared" ref="D17:D28" ca="1" si="0">_xlfn.TEXTJOIN(", ", TRUE, RANDBETWEEN(20, 85), RANDBETWEEN(20, 85), RANDBETWEEN(20, 85), RANDBETWEEN(20, 85), RANDBETWEEN(20, 85), RANDBETWEEN(20, 85), RANDBETWEEN(20, 85), RANDBETWEEN(20, 85), RANDBETWEEN(20, 85), RANDBETWEEN(20, 85))</f>
        <v>23, 31, 28, 48, 85, 36, 32, 75, 75, 26</v>
      </c>
      <c r="E17" s="54" cm="1">
        <f t="array" aca="1" ref="E17" ca="1">AverageStipeDiameter(D17)</f>
        <v>45.9</v>
      </c>
      <c r="F17" s="29">
        <v>22</v>
      </c>
      <c r="G17" s="7"/>
      <c r="H17" s="7"/>
      <c r="I17" s="43"/>
      <c r="J17" s="92" cm="1">
        <f t="array" ref="J17">AverageStipeDiameter(I17)</f>
        <v>0</v>
      </c>
    </row>
    <row r="18" spans="1:10" x14ac:dyDescent="0.35">
      <c r="A18" s="27">
        <v>3</v>
      </c>
      <c r="B18" s="7">
        <v>5</v>
      </c>
      <c r="C18" s="7">
        <v>21</v>
      </c>
      <c r="D18" t="str">
        <f t="shared" ca="1" si="0"/>
        <v>23, 78, 39, 54, 75, 21, 46, 64, 81, 20</v>
      </c>
      <c r="E18" s="54" cm="1">
        <f t="array" aca="1" ref="E18" ca="1">AverageStipeDiameter(D18)</f>
        <v>50.1</v>
      </c>
      <c r="F18" s="29">
        <v>23</v>
      </c>
      <c r="G18" s="7"/>
      <c r="H18" s="7"/>
      <c r="I18" s="43"/>
      <c r="J18" s="92" cm="1">
        <f t="array" ref="J18">AverageStipeDiameter(I18)</f>
        <v>0</v>
      </c>
    </row>
    <row r="19" spans="1:10" x14ac:dyDescent="0.35">
      <c r="A19" s="27">
        <v>4</v>
      </c>
      <c r="B19" s="7">
        <v>5</v>
      </c>
      <c r="C19" s="7">
        <v>23</v>
      </c>
      <c r="D19" t="str">
        <f t="shared" ca="1" si="0"/>
        <v>84, 23, 21, 83, 63, 72, 31, 44, 35, 42</v>
      </c>
      <c r="E19" s="54" cm="1">
        <f t="array" aca="1" ref="E19" ca="1">AverageStipeDiameter(D19)</f>
        <v>49.8</v>
      </c>
      <c r="F19" s="29">
        <v>24</v>
      </c>
      <c r="G19" s="7"/>
      <c r="H19" s="7"/>
      <c r="I19" s="43"/>
      <c r="J19" s="92" cm="1">
        <f t="array" ref="J19">AverageStipeDiameter(I19)</f>
        <v>0</v>
      </c>
    </row>
    <row r="20" spans="1:10" x14ac:dyDescent="0.35">
      <c r="A20" s="27">
        <v>5</v>
      </c>
      <c r="B20" s="7">
        <v>5</v>
      </c>
      <c r="C20" s="7">
        <v>5</v>
      </c>
      <c r="D20" t="str">
        <f t="shared" ca="1" si="0"/>
        <v>55, 20, 55, 54, 30, 37, 47, 83, 83, 35</v>
      </c>
      <c r="E20" s="54" cm="1">
        <f t="array" aca="1" ref="E20" ca="1">AverageStipeDiameter(D20)</f>
        <v>49.9</v>
      </c>
      <c r="F20" s="29">
        <v>25</v>
      </c>
      <c r="G20" s="7"/>
      <c r="H20" s="7"/>
      <c r="I20" s="43"/>
      <c r="J20" s="92" cm="1">
        <f t="array" ref="J20">AverageStipeDiameter(I20)</f>
        <v>0</v>
      </c>
    </row>
    <row r="21" spans="1:10" x14ac:dyDescent="0.35">
      <c r="A21" s="27">
        <v>6</v>
      </c>
      <c r="B21" s="7">
        <v>5</v>
      </c>
      <c r="C21" s="7">
        <v>7</v>
      </c>
      <c r="D21" t="str">
        <f t="shared" ca="1" si="0"/>
        <v>30, 58, 29, 47, 56, 61, 37, 73, 29, 21</v>
      </c>
      <c r="E21" s="54" cm="1">
        <f t="array" aca="1" ref="E21" ca="1">AverageStipeDiameter(D21)</f>
        <v>44.1</v>
      </c>
      <c r="F21" s="29">
        <v>26</v>
      </c>
      <c r="G21" s="7"/>
      <c r="H21" s="7"/>
      <c r="I21" s="43"/>
      <c r="J21" s="92" cm="1">
        <f t="array" ref="J21">AverageStipeDiameter(I21)</f>
        <v>0</v>
      </c>
    </row>
    <row r="22" spans="1:10" x14ac:dyDescent="0.35">
      <c r="A22" s="27">
        <v>7</v>
      </c>
      <c r="B22" s="7">
        <v>5</v>
      </c>
      <c r="C22" s="7">
        <v>28</v>
      </c>
      <c r="D22" t="str">
        <f t="shared" ca="1" si="0"/>
        <v>33, 64, 43, 24, 40, 38, 29, 66, 22, 57</v>
      </c>
      <c r="E22" s="54" cm="1">
        <f t="array" aca="1" ref="E22" ca="1">AverageStipeDiameter(D22)</f>
        <v>41.6</v>
      </c>
      <c r="F22" s="29">
        <v>27</v>
      </c>
      <c r="G22" s="7"/>
      <c r="H22" s="7"/>
      <c r="I22" s="43"/>
      <c r="J22" s="92" cm="1">
        <f t="array" ref="J22">AverageStipeDiameter(I22)</f>
        <v>0</v>
      </c>
    </row>
    <row r="23" spans="1:10" x14ac:dyDescent="0.35">
      <c r="A23" s="27">
        <v>8</v>
      </c>
      <c r="B23" s="7">
        <v>4</v>
      </c>
      <c r="C23" s="7">
        <v>15</v>
      </c>
      <c r="D23" t="str">
        <f t="shared" ca="1" si="0"/>
        <v>71, 65, 72, 38, 43, 33, 67, 49, 85, 27</v>
      </c>
      <c r="E23" s="54" cm="1">
        <f t="array" aca="1" ref="E23" ca="1">AverageStipeDiameter(D23)</f>
        <v>55</v>
      </c>
      <c r="F23" s="29">
        <v>28</v>
      </c>
      <c r="G23" s="7"/>
      <c r="H23" s="7"/>
      <c r="I23" s="43"/>
      <c r="J23" s="92" cm="1">
        <f t="array" ref="J23">AverageStipeDiameter(I23)</f>
        <v>0</v>
      </c>
    </row>
    <row r="24" spans="1:10" x14ac:dyDescent="0.35">
      <c r="A24" s="27">
        <v>9</v>
      </c>
      <c r="B24" s="7">
        <v>5</v>
      </c>
      <c r="C24" s="7">
        <v>27</v>
      </c>
      <c r="D24" t="str">
        <f t="shared" ca="1" si="0"/>
        <v>39, 25, 85, 73, 24, 29, 74, 48, 75, 40</v>
      </c>
      <c r="E24" s="54" cm="1">
        <f t="array" aca="1" ref="E24" ca="1">AverageStipeDiameter(D24)</f>
        <v>51.2</v>
      </c>
      <c r="F24" s="29">
        <v>29</v>
      </c>
      <c r="G24" s="7"/>
      <c r="H24" s="7"/>
      <c r="I24" s="43"/>
      <c r="J24" s="92" cm="1">
        <f t="array" ref="J24">AverageStipeDiameter(I24)</f>
        <v>0</v>
      </c>
    </row>
    <row r="25" spans="1:10" x14ac:dyDescent="0.35">
      <c r="A25" s="27">
        <v>10</v>
      </c>
      <c r="B25" s="7">
        <v>5</v>
      </c>
      <c r="C25" s="7">
        <v>14</v>
      </c>
      <c r="D25" t="str">
        <f t="shared" ca="1" si="0"/>
        <v>28, 43, 65, 63, 74, 78, 35, 55, 53, 82</v>
      </c>
      <c r="E25" s="54" cm="1">
        <f t="array" aca="1" ref="E25" ca="1">AverageStipeDiameter(D25)</f>
        <v>57.6</v>
      </c>
      <c r="F25" s="29">
        <v>30</v>
      </c>
      <c r="G25" s="7"/>
      <c r="H25" s="7"/>
      <c r="I25" s="43"/>
      <c r="J25" s="92" cm="1">
        <f t="array" ref="J25">AverageStipeDiameter(I25)</f>
        <v>0</v>
      </c>
    </row>
    <row r="26" spans="1:10" x14ac:dyDescent="0.35">
      <c r="A26" s="27">
        <v>11</v>
      </c>
      <c r="B26" s="7">
        <v>5</v>
      </c>
      <c r="C26" s="7">
        <v>25</v>
      </c>
      <c r="D26" t="str">
        <f t="shared" ca="1" si="0"/>
        <v>25, 44, 82, 77, 49, 79, 65, 69, 76, 48</v>
      </c>
      <c r="E26" s="54" cm="1">
        <f t="array" aca="1" ref="E26" ca="1">AverageStipeDiameter(D26)</f>
        <v>61.4</v>
      </c>
      <c r="F26" s="29">
        <v>31</v>
      </c>
      <c r="G26" s="7"/>
      <c r="H26" s="7"/>
      <c r="I26" s="43"/>
      <c r="J26" s="92" cm="1">
        <f t="array" ref="J26">AverageStipeDiameter(I26)</f>
        <v>0</v>
      </c>
    </row>
    <row r="27" spans="1:10" x14ac:dyDescent="0.35">
      <c r="A27" s="27">
        <v>12</v>
      </c>
      <c r="B27" s="7">
        <v>3</v>
      </c>
      <c r="C27" s="7">
        <v>26</v>
      </c>
      <c r="D27" t="str">
        <f t="shared" ca="1" si="0"/>
        <v>64, 25, 33, 81, 85, 57, 73, 33, 22, 71</v>
      </c>
      <c r="E27" s="54" cm="1">
        <f t="array" aca="1" ref="E27" ca="1">AverageStipeDiameter(D27)</f>
        <v>54.4</v>
      </c>
      <c r="F27" s="29">
        <v>32</v>
      </c>
      <c r="G27" s="7"/>
      <c r="H27" s="7"/>
      <c r="I27" s="43"/>
      <c r="J27" s="92" cm="1">
        <f t="array" ref="J27">AverageStipeDiameter(I27)</f>
        <v>0</v>
      </c>
    </row>
    <row r="28" spans="1:10" x14ac:dyDescent="0.35">
      <c r="A28" s="27">
        <v>13</v>
      </c>
      <c r="B28" s="7">
        <v>4</v>
      </c>
      <c r="C28" s="7">
        <v>14</v>
      </c>
      <c r="D28" t="str">
        <f t="shared" ca="1" si="0"/>
        <v>56, 34, 54, 81, 84, 38, 33, 48, 27, 69</v>
      </c>
      <c r="E28" s="54" cm="1">
        <f t="array" aca="1" ref="E28" ca="1">AverageStipeDiameter(D28)</f>
        <v>52.4</v>
      </c>
      <c r="F28" s="29">
        <v>33</v>
      </c>
      <c r="G28" s="7"/>
      <c r="H28" s="7"/>
      <c r="I28" s="43"/>
      <c r="J28" s="92" cm="1">
        <f t="array" ref="J28">AverageStipeDiameter(I28)</f>
        <v>0</v>
      </c>
    </row>
    <row r="29" spans="1:10" x14ac:dyDescent="0.35">
      <c r="A29" s="27">
        <v>14</v>
      </c>
      <c r="B29" s="7"/>
      <c r="C29" s="7"/>
      <c r="D29" s="142"/>
      <c r="E29" s="54" cm="1">
        <f t="array" ref="E29">AverageStipeDiameter(D29)</f>
        <v>0</v>
      </c>
      <c r="F29" s="29">
        <v>34</v>
      </c>
      <c r="G29" s="7"/>
      <c r="H29" s="7"/>
      <c r="I29" s="43"/>
      <c r="J29" s="92" cm="1">
        <f t="array" ref="J29">AverageStipeDiameter(I29)</f>
        <v>0</v>
      </c>
    </row>
    <row r="30" spans="1:10" x14ac:dyDescent="0.35">
      <c r="A30" s="27">
        <v>15</v>
      </c>
      <c r="B30" s="7"/>
      <c r="C30" s="7"/>
      <c r="D30" s="142"/>
      <c r="E30" s="54" cm="1">
        <f t="array" ref="E30">AverageStipeDiameter(D30)</f>
        <v>0</v>
      </c>
      <c r="F30" s="29">
        <v>35</v>
      </c>
      <c r="G30" s="7"/>
      <c r="H30" s="7"/>
      <c r="I30" s="43"/>
      <c r="J30" s="92" cm="1">
        <f t="array" ref="J30">AverageStipeDiameter(I30)</f>
        <v>0</v>
      </c>
    </row>
    <row r="31" spans="1:10" x14ac:dyDescent="0.35">
      <c r="A31" s="27">
        <v>16</v>
      </c>
      <c r="B31" s="7"/>
      <c r="C31" s="7"/>
      <c r="D31" s="142"/>
      <c r="E31" s="54" cm="1">
        <f t="array" ref="E31">AverageStipeDiameter(D31)</f>
        <v>0</v>
      </c>
      <c r="F31" s="29">
        <v>36</v>
      </c>
      <c r="G31" s="7"/>
      <c r="H31" s="7"/>
      <c r="I31" s="43"/>
      <c r="J31" s="92" cm="1">
        <f t="array" ref="J31">AverageStipeDiameter(I31)</f>
        <v>0</v>
      </c>
    </row>
    <row r="32" spans="1:10" x14ac:dyDescent="0.35">
      <c r="A32" s="27">
        <v>17</v>
      </c>
      <c r="B32" s="7"/>
      <c r="C32" s="7"/>
      <c r="D32" s="142"/>
      <c r="E32" s="54" cm="1">
        <f t="array" ref="E32">AverageStipeDiameter(D32)</f>
        <v>0</v>
      </c>
      <c r="F32" s="29">
        <v>37</v>
      </c>
      <c r="G32" s="7"/>
      <c r="H32" s="7"/>
      <c r="I32" s="43"/>
      <c r="J32" s="92" cm="1">
        <f t="array" ref="J32">AverageStipeDiameter(I32)</f>
        <v>0</v>
      </c>
    </row>
    <row r="33" spans="1:10" x14ac:dyDescent="0.35">
      <c r="A33" s="27">
        <v>18</v>
      </c>
      <c r="B33" s="7"/>
      <c r="C33" s="7"/>
      <c r="D33" s="142"/>
      <c r="E33" s="54" cm="1">
        <f t="array" ref="E33">AverageStipeDiameter(D33)</f>
        <v>0</v>
      </c>
      <c r="F33" s="29">
        <v>38</v>
      </c>
      <c r="G33" s="7"/>
      <c r="H33" s="7"/>
      <c r="I33" s="43"/>
      <c r="J33" s="92" cm="1">
        <f t="array" ref="J33">AverageStipeDiameter(I33)</f>
        <v>0</v>
      </c>
    </row>
    <row r="34" spans="1:10" x14ac:dyDescent="0.35">
      <c r="A34" s="27">
        <v>19</v>
      </c>
      <c r="B34" s="7"/>
      <c r="C34" s="7"/>
      <c r="D34" s="142"/>
      <c r="E34" s="54" cm="1">
        <f t="array" ref="E34">AverageStipeDiameter(D34)</f>
        <v>0</v>
      </c>
      <c r="F34" s="29">
        <v>39</v>
      </c>
      <c r="G34" s="7"/>
      <c r="H34" s="7"/>
      <c r="I34" s="43"/>
      <c r="J34" s="92" cm="1">
        <f t="array" ref="J34">AverageStipeDiameter(I34)</f>
        <v>0</v>
      </c>
    </row>
    <row r="35" spans="1:10" ht="15" thickBot="1" x14ac:dyDescent="0.4">
      <c r="A35" s="28">
        <v>20</v>
      </c>
      <c r="B35" s="8"/>
      <c r="C35" s="8"/>
      <c r="D35" s="51"/>
      <c r="E35" s="93" cm="1">
        <f t="array" ref="E35">AverageStipeDiameter(D35)</f>
        <v>0</v>
      </c>
      <c r="F35" s="30">
        <v>40</v>
      </c>
      <c r="G35" s="8"/>
      <c r="H35" s="8"/>
      <c r="I35" s="44"/>
      <c r="J35" s="94" cm="1">
        <f t="array" ref="J35">AverageStipeDiameter(I35)</f>
        <v>0</v>
      </c>
    </row>
    <row r="36" spans="1:10" ht="17" thickBot="1" x14ac:dyDescent="0.4">
      <c r="A36" s="188" t="s">
        <v>133</v>
      </c>
      <c r="B36" s="189"/>
      <c r="C36" s="80">
        <v>900</v>
      </c>
    </row>
    <row r="37" spans="1:10" ht="17" thickBot="1" x14ac:dyDescent="0.4">
      <c r="A37" s="186" t="s">
        <v>134</v>
      </c>
      <c r="B37" s="187"/>
      <c r="C37" s="81">
        <v>1200</v>
      </c>
    </row>
    <row r="38" spans="1:10" ht="15" thickBot="1" x14ac:dyDescent="0.4">
      <c r="A38" s="182" t="s">
        <v>135</v>
      </c>
      <c r="B38" s="183"/>
      <c r="C38" s="78" cm="1">
        <f t="array" ref="C38">Bryozoans(B16:B35,G16:G35)</f>
        <v>83.84615384615384</v>
      </c>
    </row>
    <row r="39" spans="1:10" ht="15" thickBot="1" x14ac:dyDescent="0.4">
      <c r="A39" s="184" t="s">
        <v>136</v>
      </c>
      <c r="B39" s="185"/>
      <c r="C39" s="79" cm="1">
        <f t="array" aca="1" ref="C39" ca="1">AverageCSVcols(D16:D35,I16:I35)</f>
        <v>51.53846153846154</v>
      </c>
    </row>
    <row r="40" spans="1:10" ht="15" thickBot="1" x14ac:dyDescent="0.4">
      <c r="A40" s="186" t="s">
        <v>137</v>
      </c>
      <c r="B40" s="187"/>
      <c r="C40" s="77">
        <f>AVERAGE(C16:C35,H16:H35)</f>
        <v>17.846153846153847</v>
      </c>
    </row>
  </sheetData>
  <mergeCells count="24">
    <mergeCell ref="A36:B36"/>
    <mergeCell ref="A37:B37"/>
    <mergeCell ref="A38:B38"/>
    <mergeCell ref="A39:B39"/>
    <mergeCell ref="A40:B40"/>
    <mergeCell ref="A14:J14"/>
    <mergeCell ref="A5:B5"/>
    <mergeCell ref="C5:D5"/>
    <mergeCell ref="A6:B6"/>
    <mergeCell ref="C6:D6"/>
    <mergeCell ref="A7:F7"/>
    <mergeCell ref="G8:J8"/>
    <mergeCell ref="I9:J9"/>
    <mergeCell ref="I10:J10"/>
    <mergeCell ref="I11:J11"/>
    <mergeCell ref="I12:J12"/>
    <mergeCell ref="H13:J13"/>
    <mergeCell ref="A4:B4"/>
    <mergeCell ref="C4:D4"/>
    <mergeCell ref="A1:J1"/>
    <mergeCell ref="A2:B2"/>
    <mergeCell ref="C2:D2"/>
    <mergeCell ref="A3:B3"/>
    <mergeCell ref="C3:D3"/>
  </mergeCell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29C4-19EC-4CA0-8F1F-CE553A0E7CEA}">
  <sheetPr codeName="Sheet27">
    <tabColor theme="8" tint="0.79998168889431442"/>
  </sheetPr>
  <dimension ref="A1:J40"/>
  <sheetViews>
    <sheetView zoomScale="80" zoomScaleNormal="80" workbookViewId="0">
      <selection activeCell="C4" sqref="C4:D4"/>
    </sheetView>
  </sheetViews>
  <sheetFormatPr defaultRowHeight="14.5" x14ac:dyDescent="0.35"/>
  <cols>
    <col min="1" max="1" width="12.54296875" customWidth="1"/>
    <col min="2" max="2" width="12.1796875" bestFit="1" customWidth="1"/>
    <col min="3" max="3" width="10.1796875" customWidth="1"/>
    <col min="4" max="4" width="27" customWidth="1"/>
    <col min="5" max="5" width="21.1796875" customWidth="1"/>
    <col min="6" max="6" width="9.1796875" customWidth="1"/>
    <col min="7" max="7" width="20.81640625" customWidth="1"/>
    <col min="8" max="8" width="12.1796875" bestFit="1" customWidth="1"/>
    <col min="9" max="9" width="17.81640625" bestFit="1" customWidth="1"/>
    <col min="10" max="10" width="10.81640625" customWidth="1"/>
  </cols>
  <sheetData>
    <row r="1" spans="1:10" ht="15" thickBot="1" x14ac:dyDescent="0.4">
      <c r="A1" s="191" t="s">
        <v>66</v>
      </c>
      <c r="B1" s="192"/>
      <c r="C1" s="157"/>
      <c r="D1" s="157"/>
      <c r="E1" s="192"/>
      <c r="F1" s="192"/>
      <c r="G1" s="192"/>
      <c r="H1" s="192"/>
      <c r="I1" s="192"/>
      <c r="J1" s="193"/>
    </row>
    <row r="2" spans="1:10" x14ac:dyDescent="0.35">
      <c r="A2" s="217" t="s">
        <v>67</v>
      </c>
      <c r="B2" s="165"/>
      <c r="C2" s="220" t="s">
        <v>138</v>
      </c>
      <c r="D2" s="221"/>
      <c r="E2" s="13" t="s">
        <v>69</v>
      </c>
      <c r="F2" s="9"/>
      <c r="G2" s="18" t="s">
        <v>70</v>
      </c>
      <c r="H2" s="17"/>
      <c r="I2" s="19" t="s">
        <v>71</v>
      </c>
      <c r="J2" s="16"/>
    </row>
    <row r="3" spans="1:10" x14ac:dyDescent="0.35">
      <c r="A3" s="177" t="s">
        <v>72</v>
      </c>
      <c r="B3" s="172"/>
      <c r="C3" s="151" t="s">
        <v>175</v>
      </c>
      <c r="D3" s="219"/>
      <c r="E3" s="14" t="s">
        <v>73</v>
      </c>
      <c r="F3" s="12"/>
      <c r="G3" s="20" t="s">
        <v>74</v>
      </c>
      <c r="H3" s="20" t="s">
        <v>75</v>
      </c>
      <c r="I3" s="20" t="s">
        <v>76</v>
      </c>
      <c r="J3" s="22" t="s">
        <v>77</v>
      </c>
    </row>
    <row r="4" spans="1:10" x14ac:dyDescent="0.35">
      <c r="A4" s="177" t="s">
        <v>141</v>
      </c>
      <c r="B4" s="172"/>
      <c r="C4" s="151">
        <v>2021</v>
      </c>
      <c r="D4" s="219"/>
      <c r="E4" s="14"/>
      <c r="F4" s="12"/>
      <c r="G4" s="20"/>
      <c r="H4" s="20"/>
      <c r="I4" s="20"/>
      <c r="J4" s="22"/>
    </row>
    <row r="5" spans="1:10" x14ac:dyDescent="0.35">
      <c r="A5" s="177" t="s">
        <v>79</v>
      </c>
      <c r="B5" s="172"/>
      <c r="C5" s="153">
        <v>44405</v>
      </c>
      <c r="D5" s="219"/>
      <c r="E5" s="105" t="s">
        <v>80</v>
      </c>
      <c r="F5" s="10"/>
      <c r="G5" s="20" t="s">
        <v>81</v>
      </c>
      <c r="H5" s="3"/>
      <c r="I5" s="3"/>
      <c r="J5" s="4"/>
    </row>
    <row r="6" spans="1:10" ht="15" thickBot="1" x14ac:dyDescent="0.4">
      <c r="A6" s="218" t="s">
        <v>82</v>
      </c>
      <c r="B6" s="190"/>
      <c r="C6" s="154" t="s">
        <v>83</v>
      </c>
      <c r="D6" s="222"/>
      <c r="E6" s="15"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5</v>
      </c>
      <c r="C16" s="7">
        <v>10</v>
      </c>
      <c r="D16" t="str">
        <f ca="1">_xlfn.TEXTJOIN(", ", TRUE, RANDBETWEEN(20, 85), RANDBETWEEN(20, 85), RANDBETWEEN(20, 85), RANDBETWEEN(20, 85), RANDBETWEEN(20, 85), RANDBETWEEN(20, 85), RANDBETWEEN(20, 85), RANDBETWEEN(20, 85), RANDBETWEEN(20, 85), RANDBETWEEN(20, 85))</f>
        <v>36, 30, 76, 40, 29, 45, 38, 49, 35, 71</v>
      </c>
      <c r="E16" s="54" cm="1">
        <f t="array" aca="1" ref="E16" ca="1">AverageStipeDiameter(D16)</f>
        <v>44.9</v>
      </c>
      <c r="F16" s="29">
        <v>21</v>
      </c>
      <c r="G16" s="7"/>
      <c r="H16" s="7"/>
      <c r="J16" s="92" cm="1">
        <f t="array" ref="J16">AverageStipeDiameter(I16)</f>
        <v>0</v>
      </c>
    </row>
    <row r="17" spans="1:10" x14ac:dyDescent="0.35">
      <c r="A17" s="27">
        <v>2</v>
      </c>
      <c r="B17" s="7">
        <v>5</v>
      </c>
      <c r="C17" s="7">
        <v>17</v>
      </c>
      <c r="D17" t="str">
        <f t="shared" ref="D17:D28" ca="1" si="0">_xlfn.TEXTJOIN(", ", TRUE, RANDBETWEEN(20, 85), RANDBETWEEN(20, 85), RANDBETWEEN(20, 85), RANDBETWEEN(20, 85), RANDBETWEEN(20, 85), RANDBETWEEN(20, 85), RANDBETWEEN(20, 85), RANDBETWEEN(20, 85), RANDBETWEEN(20, 85), RANDBETWEEN(20, 85))</f>
        <v>60, 69, 69, 33, 38, 56, 78, 70, 52, 69</v>
      </c>
      <c r="E17" s="54" cm="1">
        <f t="array" aca="1" ref="E17" ca="1">AverageStipeDiameter(D17)</f>
        <v>59.4</v>
      </c>
      <c r="F17" s="29">
        <v>22</v>
      </c>
      <c r="G17" s="7"/>
      <c r="H17" s="7"/>
      <c r="I17" s="43"/>
      <c r="J17" s="92" cm="1">
        <f t="array" ref="J17">AverageStipeDiameter(I17)</f>
        <v>0</v>
      </c>
    </row>
    <row r="18" spans="1:10" x14ac:dyDescent="0.35">
      <c r="A18" s="27">
        <v>3</v>
      </c>
      <c r="B18" s="7">
        <v>5</v>
      </c>
      <c r="C18" s="7">
        <v>21</v>
      </c>
      <c r="D18" t="str">
        <f t="shared" ca="1" si="0"/>
        <v>79, 44, 48, 37, 76, 54, 59, 38, 50, 47</v>
      </c>
      <c r="E18" s="54" cm="1">
        <f t="array" aca="1" ref="E18" ca="1">AverageStipeDiameter(D18)</f>
        <v>53.2</v>
      </c>
      <c r="F18" s="29">
        <v>23</v>
      </c>
      <c r="G18" s="7"/>
      <c r="H18" s="7"/>
      <c r="I18" s="43"/>
      <c r="J18" s="92" cm="1">
        <f t="array" ref="J18">AverageStipeDiameter(I18)</f>
        <v>0</v>
      </c>
    </row>
    <row r="19" spans="1:10" x14ac:dyDescent="0.35">
      <c r="A19" s="27">
        <v>4</v>
      </c>
      <c r="B19" s="7">
        <v>5</v>
      </c>
      <c r="C19" s="7">
        <v>23</v>
      </c>
      <c r="D19" t="str">
        <f t="shared" ca="1" si="0"/>
        <v>59, 74, 26, 75, 67, 42, 65, 32, 28, 45</v>
      </c>
      <c r="E19" s="54" cm="1">
        <f t="array" aca="1" ref="E19" ca="1">AverageStipeDiameter(D19)</f>
        <v>51.3</v>
      </c>
      <c r="F19" s="29">
        <v>24</v>
      </c>
      <c r="G19" s="7"/>
      <c r="H19" s="7"/>
      <c r="I19" s="43"/>
      <c r="J19" s="92" cm="1">
        <f t="array" ref="J19">AverageStipeDiameter(I19)</f>
        <v>0</v>
      </c>
    </row>
    <row r="20" spans="1:10" x14ac:dyDescent="0.35">
      <c r="A20" s="27">
        <v>5</v>
      </c>
      <c r="B20" s="7">
        <v>5</v>
      </c>
      <c r="C20" s="7">
        <v>5</v>
      </c>
      <c r="D20" t="str">
        <f t="shared" ca="1" si="0"/>
        <v>26, 29, 30, 65, 22, 29, 30, 56, 29, 35</v>
      </c>
      <c r="E20" s="54" cm="1">
        <f t="array" aca="1" ref="E20" ca="1">AverageStipeDiameter(D20)</f>
        <v>35.1</v>
      </c>
      <c r="F20" s="29">
        <v>25</v>
      </c>
      <c r="G20" s="7"/>
      <c r="H20" s="7"/>
      <c r="I20" s="43"/>
      <c r="J20" s="92" cm="1">
        <f t="array" ref="J20">AverageStipeDiameter(I20)</f>
        <v>0</v>
      </c>
    </row>
    <row r="21" spans="1:10" x14ac:dyDescent="0.35">
      <c r="A21" s="27">
        <v>6</v>
      </c>
      <c r="B21" s="7">
        <v>5</v>
      </c>
      <c r="C21" s="7">
        <v>7</v>
      </c>
      <c r="D21" t="str">
        <f t="shared" ca="1" si="0"/>
        <v>81, 66, 39, 48, 21, 80, 73, 79, 84, 37</v>
      </c>
      <c r="E21" s="54" cm="1">
        <f t="array" aca="1" ref="E21" ca="1">AverageStipeDiameter(D21)</f>
        <v>60.8</v>
      </c>
      <c r="F21" s="29">
        <v>26</v>
      </c>
      <c r="G21" s="7"/>
      <c r="H21" s="7"/>
      <c r="I21" s="43"/>
      <c r="J21" s="92" cm="1">
        <f t="array" ref="J21">AverageStipeDiameter(I21)</f>
        <v>0</v>
      </c>
    </row>
    <row r="22" spans="1:10" x14ac:dyDescent="0.35">
      <c r="A22" s="27">
        <v>7</v>
      </c>
      <c r="B22" s="7">
        <v>5</v>
      </c>
      <c r="C22" s="7">
        <v>28</v>
      </c>
      <c r="D22" t="str">
        <f t="shared" ca="1" si="0"/>
        <v>73, 57, 55, 60, 26, 34, 74, 44, 51, 52</v>
      </c>
      <c r="E22" s="54" cm="1">
        <f t="array" aca="1" ref="E22" ca="1">AverageStipeDiameter(D22)</f>
        <v>52.6</v>
      </c>
      <c r="F22" s="29">
        <v>27</v>
      </c>
      <c r="G22" s="7"/>
      <c r="H22" s="7"/>
      <c r="I22" s="43"/>
      <c r="J22" s="92" cm="1">
        <f t="array" ref="J22">AverageStipeDiameter(I22)</f>
        <v>0</v>
      </c>
    </row>
    <row r="23" spans="1:10" x14ac:dyDescent="0.35">
      <c r="A23" s="27">
        <v>8</v>
      </c>
      <c r="B23" s="7">
        <v>4</v>
      </c>
      <c r="C23" s="7">
        <v>15</v>
      </c>
      <c r="D23" t="str">
        <f t="shared" ca="1" si="0"/>
        <v>79, 33, 60, 65, 70, 53, 81, 62, 30, 54</v>
      </c>
      <c r="E23" s="54" cm="1">
        <f t="array" aca="1" ref="E23" ca="1">AverageStipeDiameter(D23)</f>
        <v>58.7</v>
      </c>
      <c r="F23" s="29">
        <v>28</v>
      </c>
      <c r="G23" s="7"/>
      <c r="H23" s="7"/>
      <c r="I23" s="43"/>
      <c r="J23" s="92" cm="1">
        <f t="array" ref="J23">AverageStipeDiameter(I23)</f>
        <v>0</v>
      </c>
    </row>
    <row r="24" spans="1:10" x14ac:dyDescent="0.35">
      <c r="A24" s="27">
        <v>9</v>
      </c>
      <c r="B24" s="7">
        <v>5</v>
      </c>
      <c r="C24" s="7">
        <v>27</v>
      </c>
      <c r="D24" t="str">
        <f t="shared" ca="1" si="0"/>
        <v>68, 68, 40, 47, 62, 57, 66, 20, 30, 40</v>
      </c>
      <c r="E24" s="54" cm="1">
        <f t="array" aca="1" ref="E24" ca="1">AverageStipeDiameter(D24)</f>
        <v>49.8</v>
      </c>
      <c r="F24" s="29">
        <v>29</v>
      </c>
      <c r="G24" s="7"/>
      <c r="H24" s="7"/>
      <c r="I24" s="43"/>
      <c r="J24" s="92" cm="1">
        <f t="array" ref="J24">AverageStipeDiameter(I24)</f>
        <v>0</v>
      </c>
    </row>
    <row r="25" spans="1:10" x14ac:dyDescent="0.35">
      <c r="A25" s="27">
        <v>10</v>
      </c>
      <c r="B25" s="7">
        <v>5</v>
      </c>
      <c r="C25" s="7">
        <v>14</v>
      </c>
      <c r="D25" t="str">
        <f t="shared" ca="1" si="0"/>
        <v>22, 75, 28, 28, 57, 48, 84, 30, 52, 83</v>
      </c>
      <c r="E25" s="54" cm="1">
        <f t="array" aca="1" ref="E25" ca="1">AverageStipeDiameter(D25)</f>
        <v>50.7</v>
      </c>
      <c r="F25" s="29">
        <v>30</v>
      </c>
      <c r="G25" s="7"/>
      <c r="H25" s="7"/>
      <c r="I25" s="43"/>
      <c r="J25" s="92" cm="1">
        <f t="array" ref="J25">AverageStipeDiameter(I25)</f>
        <v>0</v>
      </c>
    </row>
    <row r="26" spans="1:10" x14ac:dyDescent="0.35">
      <c r="A26" s="27">
        <v>11</v>
      </c>
      <c r="B26" s="7">
        <v>5</v>
      </c>
      <c r="C26" s="7">
        <v>25</v>
      </c>
      <c r="D26" t="str">
        <f t="shared" ca="1" si="0"/>
        <v>70, 76, 38, 56, 83, 35, 35, 23, 59, 63</v>
      </c>
      <c r="E26" s="54" cm="1">
        <f t="array" aca="1" ref="E26" ca="1">AverageStipeDiameter(D26)</f>
        <v>53.8</v>
      </c>
      <c r="F26" s="29">
        <v>31</v>
      </c>
      <c r="G26" s="7"/>
      <c r="H26" s="7"/>
      <c r="I26" s="43"/>
      <c r="J26" s="92" cm="1">
        <f t="array" ref="J26">AverageStipeDiameter(I26)</f>
        <v>0</v>
      </c>
    </row>
    <row r="27" spans="1:10" x14ac:dyDescent="0.35">
      <c r="A27" s="27">
        <v>12</v>
      </c>
      <c r="B27" s="7">
        <v>3</v>
      </c>
      <c r="C27" s="7">
        <v>26</v>
      </c>
      <c r="D27" t="str">
        <f t="shared" ca="1" si="0"/>
        <v>38, 21, 38, 43, 78, 28, 59, 21, 76, 41</v>
      </c>
      <c r="E27" s="54" cm="1">
        <f t="array" aca="1" ref="E27" ca="1">AverageStipeDiameter(D27)</f>
        <v>44.3</v>
      </c>
      <c r="F27" s="29">
        <v>32</v>
      </c>
      <c r="G27" s="7"/>
      <c r="H27" s="7"/>
      <c r="I27" s="43"/>
      <c r="J27" s="92" cm="1">
        <f t="array" ref="J27">AverageStipeDiameter(I27)</f>
        <v>0</v>
      </c>
    </row>
    <row r="28" spans="1:10" x14ac:dyDescent="0.35">
      <c r="A28" s="27">
        <v>13</v>
      </c>
      <c r="B28" s="7">
        <v>4</v>
      </c>
      <c r="C28" s="7">
        <v>14</v>
      </c>
      <c r="D28" t="str">
        <f t="shared" ca="1" si="0"/>
        <v>85, 47, 20, 23, 27, 79, 29, 77, 83, 74</v>
      </c>
      <c r="E28" s="54" cm="1">
        <f t="array" aca="1" ref="E28" ca="1">AverageStipeDiameter(D28)</f>
        <v>54.4</v>
      </c>
      <c r="F28" s="29">
        <v>33</v>
      </c>
      <c r="G28" s="7"/>
      <c r="H28" s="7"/>
      <c r="I28" s="43"/>
      <c r="J28" s="92" cm="1">
        <f t="array" ref="J28">AverageStipeDiameter(I28)</f>
        <v>0</v>
      </c>
    </row>
    <row r="29" spans="1:10" x14ac:dyDescent="0.35">
      <c r="A29" s="27">
        <v>14</v>
      </c>
      <c r="B29" s="7"/>
      <c r="C29" s="7"/>
      <c r="D29" s="142"/>
      <c r="E29" s="54" cm="1">
        <f t="array" ref="E29">AverageStipeDiameter(D29)</f>
        <v>0</v>
      </c>
      <c r="F29" s="29">
        <v>34</v>
      </c>
      <c r="G29" s="7"/>
      <c r="H29" s="7"/>
      <c r="I29" s="43"/>
      <c r="J29" s="92" cm="1">
        <f t="array" ref="J29">AverageStipeDiameter(I29)</f>
        <v>0</v>
      </c>
    </row>
    <row r="30" spans="1:10" x14ac:dyDescent="0.35">
      <c r="A30" s="27">
        <v>15</v>
      </c>
      <c r="B30" s="7"/>
      <c r="C30" s="7"/>
      <c r="D30" s="142"/>
      <c r="E30" s="54" cm="1">
        <f t="array" ref="E30">AverageStipeDiameter(D30)</f>
        <v>0</v>
      </c>
      <c r="F30" s="29">
        <v>35</v>
      </c>
      <c r="G30" s="7"/>
      <c r="H30" s="7"/>
      <c r="I30" s="43"/>
      <c r="J30" s="92" cm="1">
        <f t="array" ref="J30">AverageStipeDiameter(I30)</f>
        <v>0</v>
      </c>
    </row>
    <row r="31" spans="1:10" x14ac:dyDescent="0.35">
      <c r="A31" s="27">
        <v>16</v>
      </c>
      <c r="B31" s="7"/>
      <c r="C31" s="7"/>
      <c r="D31" s="142"/>
      <c r="E31" s="54" cm="1">
        <f t="array" ref="E31">AverageStipeDiameter(D31)</f>
        <v>0</v>
      </c>
      <c r="F31" s="29">
        <v>36</v>
      </c>
      <c r="G31" s="7"/>
      <c r="H31" s="7"/>
      <c r="I31" s="43"/>
      <c r="J31" s="92" cm="1">
        <f t="array" ref="J31">AverageStipeDiameter(I31)</f>
        <v>0</v>
      </c>
    </row>
    <row r="32" spans="1:10" x14ac:dyDescent="0.35">
      <c r="A32" s="27">
        <v>17</v>
      </c>
      <c r="B32" s="7"/>
      <c r="C32" s="7"/>
      <c r="D32" s="142"/>
      <c r="E32" s="54" cm="1">
        <f t="array" ref="E32">AverageStipeDiameter(D32)</f>
        <v>0</v>
      </c>
      <c r="F32" s="29">
        <v>37</v>
      </c>
      <c r="G32" s="7"/>
      <c r="H32" s="7"/>
      <c r="I32" s="43"/>
      <c r="J32" s="92" cm="1">
        <f t="array" ref="J32">AverageStipeDiameter(I32)</f>
        <v>0</v>
      </c>
    </row>
    <row r="33" spans="1:10" x14ac:dyDescent="0.35">
      <c r="A33" s="27">
        <v>18</v>
      </c>
      <c r="B33" s="7"/>
      <c r="C33" s="7"/>
      <c r="D33" s="142"/>
      <c r="E33" s="54" cm="1">
        <f t="array" ref="E33">AverageStipeDiameter(D33)</f>
        <v>0</v>
      </c>
      <c r="F33" s="29">
        <v>38</v>
      </c>
      <c r="G33" s="7"/>
      <c r="H33" s="7"/>
      <c r="I33" s="43"/>
      <c r="J33" s="92" cm="1">
        <f t="array" ref="J33">AverageStipeDiameter(I33)</f>
        <v>0</v>
      </c>
    </row>
    <row r="34" spans="1:10" x14ac:dyDescent="0.35">
      <c r="A34" s="27">
        <v>19</v>
      </c>
      <c r="B34" s="7"/>
      <c r="C34" s="7"/>
      <c r="D34" s="142"/>
      <c r="E34" s="54" cm="1">
        <f t="array" ref="E34">AverageStipeDiameter(D34)</f>
        <v>0</v>
      </c>
      <c r="F34" s="29">
        <v>39</v>
      </c>
      <c r="G34" s="7"/>
      <c r="H34" s="7"/>
      <c r="I34" s="43"/>
      <c r="J34" s="92" cm="1">
        <f t="array" ref="J34">AverageStipeDiameter(I34)</f>
        <v>0</v>
      </c>
    </row>
    <row r="35" spans="1:10" ht="15" thickBot="1" x14ac:dyDescent="0.4">
      <c r="A35" s="28">
        <v>20</v>
      </c>
      <c r="B35" s="8"/>
      <c r="C35" s="8"/>
      <c r="D35" s="51"/>
      <c r="E35" s="93" cm="1">
        <f t="array" ref="E35">AverageStipeDiameter(D35)</f>
        <v>0</v>
      </c>
      <c r="F35" s="30">
        <v>40</v>
      </c>
      <c r="G35" s="8"/>
      <c r="H35" s="8"/>
      <c r="I35" s="44"/>
      <c r="J35" s="94" cm="1">
        <f t="array" ref="J35">AverageStipeDiameter(I35)</f>
        <v>0</v>
      </c>
    </row>
    <row r="36" spans="1:10" ht="17" thickBot="1" x14ac:dyDescent="0.4">
      <c r="A36" s="188" t="s">
        <v>133</v>
      </c>
      <c r="B36" s="189"/>
      <c r="C36" s="80">
        <v>900</v>
      </c>
    </row>
    <row r="37" spans="1:10" ht="17" thickBot="1" x14ac:dyDescent="0.4">
      <c r="A37" s="186" t="s">
        <v>134</v>
      </c>
      <c r="B37" s="187"/>
      <c r="C37" s="81">
        <v>1200</v>
      </c>
    </row>
    <row r="38" spans="1:10" ht="15" thickBot="1" x14ac:dyDescent="0.4">
      <c r="A38" s="182" t="s">
        <v>135</v>
      </c>
      <c r="B38" s="183"/>
      <c r="C38" s="78" cm="1">
        <f t="array" ref="C38">Bryozoans(B16:B35,G16:G35)</f>
        <v>83.84615384615384</v>
      </c>
    </row>
    <row r="39" spans="1:10" ht="15" thickBot="1" x14ac:dyDescent="0.4">
      <c r="A39" s="184" t="s">
        <v>136</v>
      </c>
      <c r="B39" s="185"/>
      <c r="C39" s="79" cm="1">
        <f t="array" aca="1" ref="C39" ca="1">AverageCSVcols(D16:D35,I16:I35)</f>
        <v>51.46153846153846</v>
      </c>
    </row>
    <row r="40" spans="1:10" ht="15" thickBot="1" x14ac:dyDescent="0.4">
      <c r="A40" s="186" t="s">
        <v>137</v>
      </c>
      <c r="B40" s="187"/>
      <c r="C40" s="77">
        <f>AVERAGE(C16:C35,H16:H35)</f>
        <v>17.846153846153847</v>
      </c>
    </row>
  </sheetData>
  <mergeCells count="24">
    <mergeCell ref="A36:B36"/>
    <mergeCell ref="A37:B37"/>
    <mergeCell ref="A38:B38"/>
    <mergeCell ref="A39:B39"/>
    <mergeCell ref="A40:B40"/>
    <mergeCell ref="A14:J14"/>
    <mergeCell ref="A5:B5"/>
    <mergeCell ref="C5:D5"/>
    <mergeCell ref="A6:B6"/>
    <mergeCell ref="C6:D6"/>
    <mergeCell ref="A7:F7"/>
    <mergeCell ref="G8:J8"/>
    <mergeCell ref="I9:J9"/>
    <mergeCell ref="I10:J10"/>
    <mergeCell ref="I11:J11"/>
    <mergeCell ref="I12:J12"/>
    <mergeCell ref="H13:J13"/>
    <mergeCell ref="A4:B4"/>
    <mergeCell ref="C4:D4"/>
    <mergeCell ref="A1:J1"/>
    <mergeCell ref="A2:B2"/>
    <mergeCell ref="C2:D2"/>
    <mergeCell ref="A3:B3"/>
    <mergeCell ref="C3:D3"/>
  </mergeCell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8BB5E8-D214-4557-B7C8-53B0E1878F6C}">
  <sheetPr codeName="Sheet28">
    <tabColor theme="8" tint="0.79998168889431442"/>
  </sheetPr>
  <dimension ref="A1:J40"/>
  <sheetViews>
    <sheetView zoomScale="80" zoomScaleNormal="80" workbookViewId="0">
      <selection activeCell="C3" sqref="C3:D3"/>
    </sheetView>
  </sheetViews>
  <sheetFormatPr defaultRowHeight="14.5" x14ac:dyDescent="0.35"/>
  <cols>
    <col min="1" max="1" width="12.54296875" customWidth="1"/>
    <col min="2" max="2" width="12.1796875" bestFit="1" customWidth="1"/>
    <col min="3" max="3" width="10.1796875" customWidth="1"/>
    <col min="4" max="4" width="27" customWidth="1"/>
    <col min="5" max="5" width="21.1796875" customWidth="1"/>
    <col min="6" max="6" width="9.1796875" customWidth="1"/>
    <col min="7" max="7" width="20.81640625" customWidth="1"/>
    <col min="8" max="8" width="12.1796875" bestFit="1" customWidth="1"/>
    <col min="9" max="9" width="17.81640625" bestFit="1" customWidth="1"/>
    <col min="10" max="10" width="10.81640625" customWidth="1"/>
  </cols>
  <sheetData>
    <row r="1" spans="1:10" ht="15" thickBot="1" x14ac:dyDescent="0.4">
      <c r="A1" s="191" t="s">
        <v>66</v>
      </c>
      <c r="B1" s="192"/>
      <c r="C1" s="157"/>
      <c r="D1" s="157"/>
      <c r="E1" s="192"/>
      <c r="F1" s="192"/>
      <c r="G1" s="192"/>
      <c r="H1" s="192"/>
      <c r="I1" s="192"/>
      <c r="J1" s="193"/>
    </row>
    <row r="2" spans="1:10" x14ac:dyDescent="0.35">
      <c r="A2" s="217" t="s">
        <v>67</v>
      </c>
      <c r="B2" s="165"/>
      <c r="C2" s="220" t="s">
        <v>138</v>
      </c>
      <c r="D2" s="221"/>
      <c r="E2" s="13" t="s">
        <v>69</v>
      </c>
      <c r="F2" s="9"/>
      <c r="G2" s="18" t="s">
        <v>70</v>
      </c>
      <c r="H2" s="17"/>
      <c r="I2" s="19" t="s">
        <v>71</v>
      </c>
      <c r="J2" s="16"/>
    </row>
    <row r="3" spans="1:10" x14ac:dyDescent="0.35">
      <c r="A3" s="177" t="s">
        <v>72</v>
      </c>
      <c r="B3" s="172"/>
      <c r="C3" s="151" t="s">
        <v>175</v>
      </c>
      <c r="D3" s="219"/>
      <c r="E3" s="14" t="s">
        <v>73</v>
      </c>
      <c r="F3" s="12"/>
      <c r="G3" s="20" t="s">
        <v>74</v>
      </c>
      <c r="H3" s="20" t="s">
        <v>75</v>
      </c>
      <c r="I3" s="20" t="s">
        <v>76</v>
      </c>
      <c r="J3" s="22" t="s">
        <v>77</v>
      </c>
    </row>
    <row r="4" spans="1:10" x14ac:dyDescent="0.35">
      <c r="A4" s="177" t="s">
        <v>141</v>
      </c>
      <c r="B4" s="172"/>
      <c r="C4" s="151">
        <v>2022</v>
      </c>
      <c r="D4" s="219"/>
      <c r="E4" s="14"/>
      <c r="F4" s="12"/>
      <c r="G4" s="20"/>
      <c r="H4" s="20"/>
      <c r="I4" s="20"/>
      <c r="J4" s="22"/>
    </row>
    <row r="5" spans="1:10" x14ac:dyDescent="0.35">
      <c r="A5" s="177" t="s">
        <v>79</v>
      </c>
      <c r="B5" s="172"/>
      <c r="C5" s="153">
        <v>44770</v>
      </c>
      <c r="D5" s="219"/>
      <c r="E5" s="105" t="s">
        <v>80</v>
      </c>
      <c r="F5" s="10"/>
      <c r="G5" s="20" t="s">
        <v>81</v>
      </c>
      <c r="H5" s="3"/>
      <c r="I5" s="3"/>
      <c r="J5" s="4"/>
    </row>
    <row r="6" spans="1:10" ht="15" thickBot="1" x14ac:dyDescent="0.4">
      <c r="A6" s="218" t="s">
        <v>82</v>
      </c>
      <c r="B6" s="190"/>
      <c r="C6" s="154" t="s">
        <v>83</v>
      </c>
      <c r="D6" s="222"/>
      <c r="E6" s="15"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5</v>
      </c>
      <c r="C16" s="7">
        <v>10</v>
      </c>
      <c r="D16" t="str">
        <f ca="1">_xlfn.TEXTJOIN(", ", TRUE, RANDBETWEEN(20, 85), RANDBETWEEN(20, 85), RANDBETWEEN(20, 85), RANDBETWEEN(20, 85), RANDBETWEEN(20, 85), RANDBETWEEN(20, 85), RANDBETWEEN(20, 85), RANDBETWEEN(20, 85), RANDBETWEEN(20, 85), RANDBETWEEN(20, 85))</f>
        <v>81, 75, 68, 37, 81, 72, 67, 65, 85, 21</v>
      </c>
      <c r="E16" s="54" cm="1">
        <f t="array" aca="1" ref="E16" ca="1">AverageStipeDiameter(D16)</f>
        <v>65.2</v>
      </c>
      <c r="F16" s="29">
        <v>21</v>
      </c>
      <c r="G16" s="7"/>
      <c r="H16" s="7"/>
      <c r="J16" s="92" cm="1">
        <f t="array" ref="J16">AverageStipeDiameter(I16)</f>
        <v>0</v>
      </c>
    </row>
    <row r="17" spans="1:10" x14ac:dyDescent="0.35">
      <c r="A17" s="27">
        <v>2</v>
      </c>
      <c r="B17" s="7">
        <v>5</v>
      </c>
      <c r="C17" s="7">
        <v>17</v>
      </c>
      <c r="D17" t="str">
        <f t="shared" ref="D17:D28" ca="1" si="0">_xlfn.TEXTJOIN(", ", TRUE, RANDBETWEEN(20, 85), RANDBETWEEN(20, 85), RANDBETWEEN(20, 85), RANDBETWEEN(20, 85), RANDBETWEEN(20, 85), RANDBETWEEN(20, 85), RANDBETWEEN(20, 85), RANDBETWEEN(20, 85), RANDBETWEEN(20, 85), RANDBETWEEN(20, 85))</f>
        <v>42, 64, 48, 41, 61, 64, 50, 28, 48, 85</v>
      </c>
      <c r="E17" s="54" cm="1">
        <f t="array" aca="1" ref="E17" ca="1">AverageStipeDiameter(D17)</f>
        <v>53.1</v>
      </c>
      <c r="F17" s="29">
        <v>22</v>
      </c>
      <c r="G17" s="7"/>
      <c r="H17" s="7"/>
      <c r="I17" s="43"/>
      <c r="J17" s="92" cm="1">
        <f t="array" ref="J17">AverageStipeDiameter(I17)</f>
        <v>0</v>
      </c>
    </row>
    <row r="18" spans="1:10" x14ac:dyDescent="0.35">
      <c r="A18" s="27">
        <v>3</v>
      </c>
      <c r="B18" s="7">
        <v>5</v>
      </c>
      <c r="C18" s="7">
        <v>21</v>
      </c>
      <c r="D18" t="str">
        <f t="shared" ca="1" si="0"/>
        <v>82, 24, 63, 53, 22, 72, 24, 39, 25, 56</v>
      </c>
      <c r="E18" s="54" cm="1">
        <f t="array" aca="1" ref="E18" ca="1">AverageStipeDiameter(D18)</f>
        <v>46</v>
      </c>
      <c r="F18" s="29">
        <v>23</v>
      </c>
      <c r="G18" s="7"/>
      <c r="H18" s="7"/>
      <c r="I18" s="43"/>
      <c r="J18" s="92" cm="1">
        <f t="array" ref="J18">AverageStipeDiameter(I18)</f>
        <v>0</v>
      </c>
    </row>
    <row r="19" spans="1:10" x14ac:dyDescent="0.35">
      <c r="A19" s="27">
        <v>4</v>
      </c>
      <c r="B19" s="7">
        <v>5</v>
      </c>
      <c r="C19" s="7">
        <v>23</v>
      </c>
      <c r="D19" t="str">
        <f t="shared" ca="1" si="0"/>
        <v>44, 55, 76, 73, 39, 20, 71, 44, 40, 84</v>
      </c>
      <c r="E19" s="54" cm="1">
        <f t="array" aca="1" ref="E19" ca="1">AverageStipeDiameter(D19)</f>
        <v>54.6</v>
      </c>
      <c r="F19" s="29">
        <v>24</v>
      </c>
      <c r="G19" s="7"/>
      <c r="H19" s="7"/>
      <c r="I19" s="43"/>
      <c r="J19" s="92" cm="1">
        <f t="array" ref="J19">AverageStipeDiameter(I19)</f>
        <v>0</v>
      </c>
    </row>
    <row r="20" spans="1:10" x14ac:dyDescent="0.35">
      <c r="A20" s="27">
        <v>5</v>
      </c>
      <c r="B20" s="7">
        <v>5</v>
      </c>
      <c r="C20" s="7">
        <v>5</v>
      </c>
      <c r="D20" t="str">
        <f t="shared" ca="1" si="0"/>
        <v>85, 48, 70, 32, 26, 52, 62, 76, 63, 39</v>
      </c>
      <c r="E20" s="54" cm="1">
        <f t="array" aca="1" ref="E20" ca="1">AverageStipeDiameter(D20)</f>
        <v>55.3</v>
      </c>
      <c r="F20" s="29">
        <v>25</v>
      </c>
      <c r="G20" s="7"/>
      <c r="H20" s="7"/>
      <c r="I20" s="43"/>
      <c r="J20" s="92" cm="1">
        <f t="array" ref="J20">AverageStipeDiameter(I20)</f>
        <v>0</v>
      </c>
    </row>
    <row r="21" spans="1:10" x14ac:dyDescent="0.35">
      <c r="A21" s="27">
        <v>6</v>
      </c>
      <c r="B21" s="7">
        <v>5</v>
      </c>
      <c r="C21" s="7">
        <v>7</v>
      </c>
      <c r="D21" t="str">
        <f t="shared" ca="1" si="0"/>
        <v>84, 74, 25, 69, 59, 71, 54, 58, 39, 85</v>
      </c>
      <c r="E21" s="54" cm="1">
        <f t="array" aca="1" ref="E21" ca="1">AverageStipeDiameter(D21)</f>
        <v>61.8</v>
      </c>
      <c r="F21" s="29">
        <v>26</v>
      </c>
      <c r="G21" s="7"/>
      <c r="H21" s="7"/>
      <c r="I21" s="43"/>
      <c r="J21" s="92" cm="1">
        <f t="array" ref="J21">AverageStipeDiameter(I21)</f>
        <v>0</v>
      </c>
    </row>
    <row r="22" spans="1:10" x14ac:dyDescent="0.35">
      <c r="A22" s="27">
        <v>7</v>
      </c>
      <c r="B22" s="7">
        <v>5</v>
      </c>
      <c r="C22" s="7">
        <v>28</v>
      </c>
      <c r="D22" t="str">
        <f t="shared" ca="1" si="0"/>
        <v>64, 59, 26, 35, 47, 63, 42, 68, 21, 78</v>
      </c>
      <c r="E22" s="54" cm="1">
        <f t="array" aca="1" ref="E22" ca="1">AverageStipeDiameter(D22)</f>
        <v>50.3</v>
      </c>
      <c r="F22" s="29">
        <v>27</v>
      </c>
      <c r="G22" s="7"/>
      <c r="H22" s="7"/>
      <c r="I22" s="43"/>
      <c r="J22" s="92" cm="1">
        <f t="array" ref="J22">AverageStipeDiameter(I22)</f>
        <v>0</v>
      </c>
    </row>
    <row r="23" spans="1:10" x14ac:dyDescent="0.35">
      <c r="A23" s="27">
        <v>8</v>
      </c>
      <c r="B23" s="7">
        <v>4</v>
      </c>
      <c r="C23" s="7">
        <v>15</v>
      </c>
      <c r="D23" t="str">
        <f t="shared" ca="1" si="0"/>
        <v>56, 63, 25, 43, 81, 38, 27, 77, 35, 31</v>
      </c>
      <c r="E23" s="54" cm="1">
        <f t="array" aca="1" ref="E23" ca="1">AverageStipeDiameter(D23)</f>
        <v>47.6</v>
      </c>
      <c r="F23" s="29">
        <v>28</v>
      </c>
      <c r="G23" s="7"/>
      <c r="H23" s="7"/>
      <c r="I23" s="43"/>
      <c r="J23" s="92" cm="1">
        <f t="array" ref="J23">AverageStipeDiameter(I23)</f>
        <v>0</v>
      </c>
    </row>
    <row r="24" spans="1:10" x14ac:dyDescent="0.35">
      <c r="A24" s="27">
        <v>9</v>
      </c>
      <c r="B24" s="7">
        <v>5</v>
      </c>
      <c r="C24" s="7">
        <v>27</v>
      </c>
      <c r="D24" t="str">
        <f t="shared" ca="1" si="0"/>
        <v>24, 71, 79, 26, 50, 80, 41, 27, 29, 30</v>
      </c>
      <c r="E24" s="54" cm="1">
        <f t="array" aca="1" ref="E24" ca="1">AverageStipeDiameter(D24)</f>
        <v>45.7</v>
      </c>
      <c r="F24" s="29">
        <v>29</v>
      </c>
      <c r="G24" s="7"/>
      <c r="H24" s="7"/>
      <c r="I24" s="43"/>
      <c r="J24" s="92" cm="1">
        <f t="array" ref="J24">AverageStipeDiameter(I24)</f>
        <v>0</v>
      </c>
    </row>
    <row r="25" spans="1:10" x14ac:dyDescent="0.35">
      <c r="A25" s="27">
        <v>10</v>
      </c>
      <c r="B25" s="7">
        <v>5</v>
      </c>
      <c r="C25" s="7">
        <v>14</v>
      </c>
      <c r="D25" t="str">
        <f t="shared" ca="1" si="0"/>
        <v>63, 77, 30, 73, 63, 25, 32, 34, 59, 79</v>
      </c>
      <c r="E25" s="54" cm="1">
        <f t="array" aca="1" ref="E25" ca="1">AverageStipeDiameter(D25)</f>
        <v>53.5</v>
      </c>
      <c r="F25" s="29">
        <v>30</v>
      </c>
      <c r="G25" s="7"/>
      <c r="H25" s="7"/>
      <c r="I25" s="43"/>
      <c r="J25" s="92" cm="1">
        <f t="array" ref="J25">AverageStipeDiameter(I25)</f>
        <v>0</v>
      </c>
    </row>
    <row r="26" spans="1:10" x14ac:dyDescent="0.35">
      <c r="A26" s="27">
        <v>11</v>
      </c>
      <c r="B26" s="7">
        <v>5</v>
      </c>
      <c r="C26" s="7">
        <v>25</v>
      </c>
      <c r="D26" t="str">
        <f t="shared" ca="1" si="0"/>
        <v>24, 77, 65, 42, 29, 46, 21, 42, 53, 46</v>
      </c>
      <c r="E26" s="54" cm="1">
        <f t="array" aca="1" ref="E26" ca="1">AverageStipeDiameter(D26)</f>
        <v>44.5</v>
      </c>
      <c r="F26" s="29">
        <v>31</v>
      </c>
      <c r="G26" s="7"/>
      <c r="H26" s="7"/>
      <c r="I26" s="43"/>
      <c r="J26" s="92" cm="1">
        <f t="array" ref="J26">AverageStipeDiameter(I26)</f>
        <v>0</v>
      </c>
    </row>
    <row r="27" spans="1:10" x14ac:dyDescent="0.35">
      <c r="A27" s="27">
        <v>12</v>
      </c>
      <c r="B27" s="7">
        <v>3</v>
      </c>
      <c r="C27" s="7">
        <v>26</v>
      </c>
      <c r="D27" t="str">
        <f t="shared" ca="1" si="0"/>
        <v>33, 84, 45, 27, 82, 22, 65, 58, 24, 23</v>
      </c>
      <c r="E27" s="54" cm="1">
        <f t="array" aca="1" ref="E27" ca="1">AverageStipeDiameter(D27)</f>
        <v>46.3</v>
      </c>
      <c r="F27" s="29">
        <v>32</v>
      </c>
      <c r="G27" s="7"/>
      <c r="H27" s="7"/>
      <c r="I27" s="43"/>
      <c r="J27" s="92" cm="1">
        <f t="array" ref="J27">AverageStipeDiameter(I27)</f>
        <v>0</v>
      </c>
    </row>
    <row r="28" spans="1:10" x14ac:dyDescent="0.35">
      <c r="A28" s="27">
        <v>13</v>
      </c>
      <c r="B28" s="7">
        <v>4</v>
      </c>
      <c r="C28" s="7">
        <v>14</v>
      </c>
      <c r="D28" t="str">
        <f t="shared" ca="1" si="0"/>
        <v>71, 24, 23, 81, 33, 85, 49, 25, 41, 76</v>
      </c>
      <c r="E28" s="54" cm="1">
        <f t="array" aca="1" ref="E28" ca="1">AverageStipeDiameter(D28)</f>
        <v>50.8</v>
      </c>
      <c r="F28" s="29">
        <v>33</v>
      </c>
      <c r="G28" s="7"/>
      <c r="H28" s="7"/>
      <c r="I28" s="43"/>
      <c r="J28" s="92" cm="1">
        <f t="array" ref="J28">AverageStipeDiameter(I28)</f>
        <v>0</v>
      </c>
    </row>
    <row r="29" spans="1:10" x14ac:dyDescent="0.35">
      <c r="A29" s="27">
        <v>14</v>
      </c>
      <c r="B29" s="7"/>
      <c r="C29" s="7"/>
      <c r="D29" s="142"/>
      <c r="E29" s="54" cm="1">
        <f t="array" ref="E29">AverageStipeDiameter(D29)</f>
        <v>0</v>
      </c>
      <c r="F29" s="29">
        <v>34</v>
      </c>
      <c r="G29" s="7"/>
      <c r="H29" s="7"/>
      <c r="I29" s="43"/>
      <c r="J29" s="92" cm="1">
        <f t="array" ref="J29">AverageStipeDiameter(I29)</f>
        <v>0</v>
      </c>
    </row>
    <row r="30" spans="1:10" x14ac:dyDescent="0.35">
      <c r="A30" s="27">
        <v>15</v>
      </c>
      <c r="B30" s="7"/>
      <c r="C30" s="7"/>
      <c r="D30" s="142"/>
      <c r="E30" s="54" cm="1">
        <f t="array" ref="E30">AverageStipeDiameter(D30)</f>
        <v>0</v>
      </c>
      <c r="F30" s="29">
        <v>35</v>
      </c>
      <c r="G30" s="7"/>
      <c r="H30" s="7"/>
      <c r="I30" s="43"/>
      <c r="J30" s="92" cm="1">
        <f t="array" ref="J30">AverageStipeDiameter(I30)</f>
        <v>0</v>
      </c>
    </row>
    <row r="31" spans="1:10" x14ac:dyDescent="0.35">
      <c r="A31" s="27">
        <v>16</v>
      </c>
      <c r="B31" s="7"/>
      <c r="C31" s="7"/>
      <c r="D31" s="142"/>
      <c r="E31" s="54" cm="1">
        <f t="array" ref="E31">AverageStipeDiameter(D31)</f>
        <v>0</v>
      </c>
      <c r="F31" s="29">
        <v>36</v>
      </c>
      <c r="G31" s="7"/>
      <c r="H31" s="7"/>
      <c r="I31" s="43"/>
      <c r="J31" s="92" cm="1">
        <f t="array" ref="J31">AverageStipeDiameter(I31)</f>
        <v>0</v>
      </c>
    </row>
    <row r="32" spans="1:10" x14ac:dyDescent="0.35">
      <c r="A32" s="27">
        <v>17</v>
      </c>
      <c r="B32" s="7"/>
      <c r="C32" s="7"/>
      <c r="D32" s="142"/>
      <c r="E32" s="54" cm="1">
        <f t="array" ref="E32">AverageStipeDiameter(D32)</f>
        <v>0</v>
      </c>
      <c r="F32" s="29">
        <v>37</v>
      </c>
      <c r="G32" s="7"/>
      <c r="H32" s="7"/>
      <c r="I32" s="43"/>
      <c r="J32" s="92" cm="1">
        <f t="array" ref="J32">AverageStipeDiameter(I32)</f>
        <v>0</v>
      </c>
    </row>
    <row r="33" spans="1:10" x14ac:dyDescent="0.35">
      <c r="A33" s="27">
        <v>18</v>
      </c>
      <c r="B33" s="7"/>
      <c r="C33" s="7"/>
      <c r="D33" s="142"/>
      <c r="E33" s="54" cm="1">
        <f t="array" ref="E33">AverageStipeDiameter(D33)</f>
        <v>0</v>
      </c>
      <c r="F33" s="29">
        <v>38</v>
      </c>
      <c r="G33" s="7"/>
      <c r="H33" s="7"/>
      <c r="I33" s="43"/>
      <c r="J33" s="92" cm="1">
        <f t="array" ref="J33">AverageStipeDiameter(I33)</f>
        <v>0</v>
      </c>
    </row>
    <row r="34" spans="1:10" x14ac:dyDescent="0.35">
      <c r="A34" s="27">
        <v>19</v>
      </c>
      <c r="B34" s="7"/>
      <c r="C34" s="7"/>
      <c r="D34" s="142"/>
      <c r="E34" s="54" cm="1">
        <f t="array" ref="E34">AverageStipeDiameter(D34)</f>
        <v>0</v>
      </c>
      <c r="F34" s="29">
        <v>39</v>
      </c>
      <c r="G34" s="7"/>
      <c r="H34" s="7"/>
      <c r="I34" s="43"/>
      <c r="J34" s="92" cm="1">
        <f t="array" ref="J34">AverageStipeDiameter(I34)</f>
        <v>0</v>
      </c>
    </row>
    <row r="35" spans="1:10" ht="15" thickBot="1" x14ac:dyDescent="0.4">
      <c r="A35" s="28">
        <v>20</v>
      </c>
      <c r="B35" s="8"/>
      <c r="C35" s="8"/>
      <c r="D35" s="51"/>
      <c r="E35" s="93" cm="1">
        <f t="array" ref="E35">AverageStipeDiameter(D35)</f>
        <v>0</v>
      </c>
      <c r="F35" s="30">
        <v>40</v>
      </c>
      <c r="G35" s="8"/>
      <c r="H35" s="8"/>
      <c r="I35" s="44"/>
      <c r="J35" s="94" cm="1">
        <f t="array" ref="J35">AverageStipeDiameter(I35)</f>
        <v>0</v>
      </c>
    </row>
    <row r="36" spans="1:10" ht="17" thickBot="1" x14ac:dyDescent="0.4">
      <c r="A36" s="188" t="s">
        <v>133</v>
      </c>
      <c r="B36" s="189"/>
      <c r="C36" s="80">
        <v>900</v>
      </c>
    </row>
    <row r="37" spans="1:10" ht="17" thickBot="1" x14ac:dyDescent="0.4">
      <c r="A37" s="186" t="s">
        <v>134</v>
      </c>
      <c r="B37" s="187"/>
      <c r="C37" s="81">
        <v>1200</v>
      </c>
    </row>
    <row r="38" spans="1:10" ht="15" thickBot="1" x14ac:dyDescent="0.4">
      <c r="A38" s="182" t="s">
        <v>135</v>
      </c>
      <c r="B38" s="183"/>
      <c r="C38" s="78" cm="1">
        <f t="array" ref="C38">Bryozoans(B16:B35,G16:G35)</f>
        <v>83.84615384615384</v>
      </c>
    </row>
    <row r="39" spans="1:10" ht="15" thickBot="1" x14ac:dyDescent="0.4">
      <c r="A39" s="184" t="s">
        <v>136</v>
      </c>
      <c r="B39" s="185"/>
      <c r="C39" s="79" cm="1">
        <f t="array" aca="1" ref="C39" ca="1">AverageCSVcols(D16:D35,I16:I35)</f>
        <v>51.9</v>
      </c>
    </row>
    <row r="40" spans="1:10" ht="15" thickBot="1" x14ac:dyDescent="0.4">
      <c r="A40" s="186" t="s">
        <v>137</v>
      </c>
      <c r="B40" s="187"/>
      <c r="C40" s="77">
        <f>AVERAGE(C16:C35,H16:H35)</f>
        <v>17.846153846153847</v>
      </c>
    </row>
  </sheetData>
  <mergeCells count="24">
    <mergeCell ref="A36:B36"/>
    <mergeCell ref="A37:B37"/>
    <mergeCell ref="A38:B38"/>
    <mergeCell ref="A39:B39"/>
    <mergeCell ref="A40:B40"/>
    <mergeCell ref="A14:J14"/>
    <mergeCell ref="A5:B5"/>
    <mergeCell ref="C5:D5"/>
    <mergeCell ref="A6:B6"/>
    <mergeCell ref="C6:D6"/>
    <mergeCell ref="A7:F7"/>
    <mergeCell ref="G8:J8"/>
    <mergeCell ref="I9:J9"/>
    <mergeCell ref="I10:J10"/>
    <mergeCell ref="I11:J11"/>
    <mergeCell ref="I12:J12"/>
    <mergeCell ref="H13:J13"/>
    <mergeCell ref="A4:B4"/>
    <mergeCell ref="C4:D4"/>
    <mergeCell ref="A1:J1"/>
    <mergeCell ref="A2:B2"/>
    <mergeCell ref="C2:D2"/>
    <mergeCell ref="A3:B3"/>
    <mergeCell ref="C3:D3"/>
  </mergeCell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E6D5C-5614-42B6-B3D2-66719C0105BB}">
  <sheetPr codeName="Sheet29">
    <tabColor theme="8" tint="0.79998168889431442"/>
  </sheetPr>
  <dimension ref="A1:J40"/>
  <sheetViews>
    <sheetView zoomScale="80" zoomScaleNormal="80" workbookViewId="0">
      <selection activeCell="C3" sqref="C3:D3"/>
    </sheetView>
  </sheetViews>
  <sheetFormatPr defaultRowHeight="14.5" x14ac:dyDescent="0.35"/>
  <cols>
    <col min="1" max="1" width="12.54296875" customWidth="1"/>
    <col min="2" max="2" width="12.1796875" bestFit="1" customWidth="1"/>
    <col min="3" max="3" width="10.1796875" customWidth="1"/>
    <col min="4" max="4" width="27" customWidth="1"/>
    <col min="5" max="5" width="21.1796875" customWidth="1"/>
    <col min="6" max="6" width="9.1796875" customWidth="1"/>
    <col min="7" max="7" width="20.81640625" customWidth="1"/>
    <col min="8" max="8" width="12.1796875" bestFit="1" customWidth="1"/>
    <col min="9" max="9" width="17.81640625" bestFit="1" customWidth="1"/>
    <col min="10" max="10" width="10.81640625" customWidth="1"/>
  </cols>
  <sheetData>
    <row r="1" spans="1:10" ht="15" thickBot="1" x14ac:dyDescent="0.4">
      <c r="A1" s="191" t="s">
        <v>66</v>
      </c>
      <c r="B1" s="192"/>
      <c r="C1" s="157"/>
      <c r="D1" s="157"/>
      <c r="E1" s="192"/>
      <c r="F1" s="192"/>
      <c r="G1" s="192"/>
      <c r="H1" s="192"/>
      <c r="I1" s="192"/>
      <c r="J1" s="193"/>
    </row>
    <row r="2" spans="1:10" x14ac:dyDescent="0.35">
      <c r="A2" s="217" t="s">
        <v>67</v>
      </c>
      <c r="B2" s="165"/>
      <c r="C2" s="220" t="s">
        <v>138</v>
      </c>
      <c r="D2" s="221"/>
      <c r="E2" s="13" t="s">
        <v>69</v>
      </c>
      <c r="F2" s="9"/>
      <c r="G2" s="18" t="s">
        <v>70</v>
      </c>
      <c r="H2" s="17"/>
      <c r="I2" s="19" t="s">
        <v>71</v>
      </c>
      <c r="J2" s="16"/>
    </row>
    <row r="3" spans="1:10" x14ac:dyDescent="0.35">
      <c r="A3" s="177" t="s">
        <v>72</v>
      </c>
      <c r="B3" s="172"/>
      <c r="C3" s="151" t="s">
        <v>175</v>
      </c>
      <c r="D3" s="219"/>
      <c r="E3" s="14" t="s">
        <v>73</v>
      </c>
      <c r="F3" s="12"/>
      <c r="G3" s="20" t="s">
        <v>74</v>
      </c>
      <c r="H3" s="20" t="s">
        <v>75</v>
      </c>
      <c r="I3" s="20" t="s">
        <v>76</v>
      </c>
      <c r="J3" s="22" t="s">
        <v>77</v>
      </c>
    </row>
    <row r="4" spans="1:10" x14ac:dyDescent="0.35">
      <c r="A4" s="177" t="s">
        <v>141</v>
      </c>
      <c r="B4" s="172"/>
      <c r="C4" s="151">
        <v>2023</v>
      </c>
      <c r="D4" s="219"/>
      <c r="E4" s="14"/>
      <c r="F4" s="12"/>
      <c r="G4" s="20"/>
      <c r="H4" s="20"/>
      <c r="I4" s="20"/>
      <c r="J4" s="22"/>
    </row>
    <row r="5" spans="1:10" x14ac:dyDescent="0.35">
      <c r="A5" s="177" t="s">
        <v>79</v>
      </c>
      <c r="B5" s="172"/>
      <c r="C5" s="153">
        <v>45135</v>
      </c>
      <c r="D5" s="219"/>
      <c r="E5" s="105" t="s">
        <v>80</v>
      </c>
      <c r="F5" s="10"/>
      <c r="G5" s="20" t="s">
        <v>81</v>
      </c>
      <c r="H5" s="3"/>
      <c r="I5" s="3"/>
      <c r="J5" s="4"/>
    </row>
    <row r="6" spans="1:10" ht="15" thickBot="1" x14ac:dyDescent="0.4">
      <c r="A6" s="218" t="s">
        <v>82</v>
      </c>
      <c r="B6" s="190"/>
      <c r="C6" s="154" t="s">
        <v>83</v>
      </c>
      <c r="D6" s="222"/>
      <c r="E6" s="15"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5</v>
      </c>
      <c r="C16" s="7">
        <v>10</v>
      </c>
      <c r="D16" t="str">
        <f ca="1">_xlfn.TEXTJOIN(", ", TRUE, RANDBETWEEN(20, 85), RANDBETWEEN(20, 85), RANDBETWEEN(20, 85), RANDBETWEEN(20, 85), RANDBETWEEN(20, 85), RANDBETWEEN(20, 85), RANDBETWEEN(20, 85), RANDBETWEEN(20, 85), RANDBETWEEN(20, 85), RANDBETWEEN(20, 85))</f>
        <v>78, 84, 70, 33, 42, 21, 21, 32, 45, 63</v>
      </c>
      <c r="E16" s="54" cm="1">
        <f t="array" aca="1" ref="E16" ca="1">AverageStipeDiameter(D16)</f>
        <v>48.9</v>
      </c>
      <c r="F16" s="29">
        <v>21</v>
      </c>
      <c r="G16" s="7"/>
      <c r="H16" s="7"/>
      <c r="J16" s="92" cm="1">
        <f t="array" ref="J16">AverageStipeDiameter(I16)</f>
        <v>0</v>
      </c>
    </row>
    <row r="17" spans="1:10" x14ac:dyDescent="0.35">
      <c r="A17" s="27">
        <v>2</v>
      </c>
      <c r="B17" s="7">
        <v>5</v>
      </c>
      <c r="C17" s="7">
        <v>17</v>
      </c>
      <c r="D17" t="str">
        <f t="shared" ref="D17:D35" ca="1" si="0">_xlfn.TEXTJOIN(", ", TRUE, RANDBETWEEN(20, 85), RANDBETWEEN(20, 85), RANDBETWEEN(20, 85), RANDBETWEEN(20, 85), RANDBETWEEN(20, 85), RANDBETWEEN(20, 85), RANDBETWEEN(20, 85), RANDBETWEEN(20, 85), RANDBETWEEN(20, 85), RANDBETWEEN(20, 85))</f>
        <v>65, 41, 70, 25, 80, 73, 44, 20, 85, 24</v>
      </c>
      <c r="E17" s="54" cm="1">
        <f t="array" aca="1" ref="E17" ca="1">AverageStipeDiameter(D17)</f>
        <v>52.7</v>
      </c>
      <c r="F17" s="29">
        <v>22</v>
      </c>
      <c r="G17" s="7"/>
      <c r="H17" s="7"/>
      <c r="I17" s="43"/>
      <c r="J17" s="92" cm="1">
        <f t="array" ref="J17">AverageStipeDiameter(I17)</f>
        <v>0</v>
      </c>
    </row>
    <row r="18" spans="1:10" x14ac:dyDescent="0.35">
      <c r="A18" s="27">
        <v>3</v>
      </c>
      <c r="B18" s="7">
        <v>5</v>
      </c>
      <c r="C18" s="7">
        <v>21</v>
      </c>
      <c r="D18" t="str">
        <f t="shared" ca="1" si="0"/>
        <v>33, 21, 44, 45, 49, 83, 49, 28, 49, 34</v>
      </c>
      <c r="E18" s="54" cm="1">
        <f t="array" aca="1" ref="E18" ca="1">AverageStipeDiameter(D18)</f>
        <v>43.5</v>
      </c>
      <c r="F18" s="29">
        <v>23</v>
      </c>
      <c r="G18" s="7"/>
      <c r="H18" s="7"/>
      <c r="I18" s="43"/>
      <c r="J18" s="92" cm="1">
        <f t="array" ref="J18">AverageStipeDiameter(I18)</f>
        <v>0</v>
      </c>
    </row>
    <row r="19" spans="1:10" x14ac:dyDescent="0.35">
      <c r="A19" s="27">
        <v>4</v>
      </c>
      <c r="B19" s="7">
        <v>5</v>
      </c>
      <c r="C19" s="7">
        <v>23</v>
      </c>
      <c r="D19" t="str">
        <f t="shared" ca="1" si="0"/>
        <v>85, 38, 45, 64, 60, 27, 79, 24, 41, 52</v>
      </c>
      <c r="E19" s="54" cm="1">
        <f t="array" aca="1" ref="E19" ca="1">AverageStipeDiameter(D19)</f>
        <v>51.5</v>
      </c>
      <c r="F19" s="29">
        <v>24</v>
      </c>
      <c r="G19" s="7"/>
      <c r="H19" s="7"/>
      <c r="I19" s="43"/>
      <c r="J19" s="92" cm="1">
        <f t="array" ref="J19">AverageStipeDiameter(I19)</f>
        <v>0</v>
      </c>
    </row>
    <row r="20" spans="1:10" x14ac:dyDescent="0.35">
      <c r="A20" s="27">
        <v>5</v>
      </c>
      <c r="B20" s="7">
        <v>5</v>
      </c>
      <c r="C20" s="7">
        <v>5</v>
      </c>
      <c r="D20" t="str">
        <f t="shared" ca="1" si="0"/>
        <v>45, 70, 39, 79, 78, 70, 20, 79, 71, 27</v>
      </c>
      <c r="E20" s="54" cm="1">
        <f t="array" aca="1" ref="E20" ca="1">AverageStipeDiameter(D20)</f>
        <v>57.8</v>
      </c>
      <c r="F20" s="29">
        <v>25</v>
      </c>
      <c r="G20" s="7"/>
      <c r="H20" s="7"/>
      <c r="I20" s="43"/>
      <c r="J20" s="92" cm="1">
        <f t="array" ref="J20">AverageStipeDiameter(I20)</f>
        <v>0</v>
      </c>
    </row>
    <row r="21" spans="1:10" x14ac:dyDescent="0.35">
      <c r="A21" s="27">
        <v>6</v>
      </c>
      <c r="B21" s="7">
        <v>5</v>
      </c>
      <c r="C21" s="7">
        <v>7</v>
      </c>
      <c r="D21" t="str">
        <f t="shared" ca="1" si="0"/>
        <v>72, 35, 72, 66, 80, 54, 63, 62, 36, 65</v>
      </c>
      <c r="E21" s="54" cm="1">
        <f t="array" aca="1" ref="E21" ca="1">AverageStipeDiameter(D21)</f>
        <v>60.5</v>
      </c>
      <c r="F21" s="29">
        <v>26</v>
      </c>
      <c r="G21" s="7"/>
      <c r="H21" s="7"/>
      <c r="I21" s="43"/>
      <c r="J21" s="92" cm="1">
        <f t="array" ref="J21">AverageStipeDiameter(I21)</f>
        <v>0</v>
      </c>
    </row>
    <row r="22" spans="1:10" x14ac:dyDescent="0.35">
      <c r="A22" s="27">
        <v>7</v>
      </c>
      <c r="B22" s="7">
        <v>5</v>
      </c>
      <c r="C22" s="7">
        <v>28</v>
      </c>
      <c r="D22" t="str">
        <f t="shared" ca="1" si="0"/>
        <v>72, 23, 43, 46, 59, 23, 35, 35, 43, 81</v>
      </c>
      <c r="E22" s="54" cm="1">
        <f t="array" aca="1" ref="E22" ca="1">AverageStipeDiameter(D22)</f>
        <v>46</v>
      </c>
      <c r="F22" s="29">
        <v>27</v>
      </c>
      <c r="G22" s="7"/>
      <c r="H22" s="7"/>
      <c r="I22" s="43"/>
      <c r="J22" s="92" cm="1">
        <f t="array" ref="J22">AverageStipeDiameter(I22)</f>
        <v>0</v>
      </c>
    </row>
    <row r="23" spans="1:10" x14ac:dyDescent="0.35">
      <c r="A23" s="27">
        <v>8</v>
      </c>
      <c r="B23" s="7">
        <v>4</v>
      </c>
      <c r="C23" s="7">
        <v>15</v>
      </c>
      <c r="D23" t="str">
        <f t="shared" ca="1" si="0"/>
        <v>43, 51, 79, 81, 42, 51, 76, 75, 70, 44</v>
      </c>
      <c r="E23" s="54" cm="1">
        <f t="array" aca="1" ref="E23" ca="1">AverageStipeDiameter(D23)</f>
        <v>61.2</v>
      </c>
      <c r="F23" s="29">
        <v>28</v>
      </c>
      <c r="G23" s="7"/>
      <c r="H23" s="7"/>
      <c r="I23" s="43"/>
      <c r="J23" s="92" cm="1">
        <f t="array" ref="J23">AverageStipeDiameter(I23)</f>
        <v>0</v>
      </c>
    </row>
    <row r="24" spans="1:10" x14ac:dyDescent="0.35">
      <c r="A24" s="27">
        <v>9</v>
      </c>
      <c r="B24" s="7">
        <v>5</v>
      </c>
      <c r="C24" s="7">
        <v>27</v>
      </c>
      <c r="D24" t="str">
        <f t="shared" ca="1" si="0"/>
        <v>27, 38, 59, 67, 50, 60, 73, 31, 74, 30</v>
      </c>
      <c r="E24" s="54" cm="1">
        <f t="array" aca="1" ref="E24" ca="1">AverageStipeDiameter(D24)</f>
        <v>50.9</v>
      </c>
      <c r="F24" s="29">
        <v>29</v>
      </c>
      <c r="G24" s="7"/>
      <c r="H24" s="7"/>
      <c r="I24" s="43"/>
      <c r="J24" s="92" cm="1">
        <f t="array" ref="J24">AverageStipeDiameter(I24)</f>
        <v>0</v>
      </c>
    </row>
    <row r="25" spans="1:10" x14ac:dyDescent="0.35">
      <c r="A25" s="27">
        <v>10</v>
      </c>
      <c r="B25" s="7">
        <v>5</v>
      </c>
      <c r="C25" s="7">
        <v>14</v>
      </c>
      <c r="D25" t="str">
        <f t="shared" ca="1" si="0"/>
        <v>44, 25, 41, 70, 73, 23, 41, 53, 39, 56</v>
      </c>
      <c r="E25" s="54" cm="1">
        <f t="array" aca="1" ref="E25" ca="1">AverageStipeDiameter(D25)</f>
        <v>46.5</v>
      </c>
      <c r="F25" s="29">
        <v>30</v>
      </c>
      <c r="G25" s="7"/>
      <c r="H25" s="7"/>
      <c r="I25" s="43"/>
      <c r="J25" s="92" cm="1">
        <f t="array" ref="J25">AverageStipeDiameter(I25)</f>
        <v>0</v>
      </c>
    </row>
    <row r="26" spans="1:10" x14ac:dyDescent="0.35">
      <c r="A26" s="27">
        <v>11</v>
      </c>
      <c r="B26" s="7">
        <v>5</v>
      </c>
      <c r="C26" s="7">
        <v>25</v>
      </c>
      <c r="D26" t="str">
        <f t="shared" ca="1" si="0"/>
        <v>56, 31, 22, 28, 38, 21, 49, 67, 23, 24</v>
      </c>
      <c r="E26" s="54" cm="1">
        <f t="array" aca="1" ref="E26" ca="1">AverageStipeDiameter(D26)</f>
        <v>35.9</v>
      </c>
      <c r="F26" s="29">
        <v>31</v>
      </c>
      <c r="G26" s="7"/>
      <c r="H26" s="7"/>
      <c r="I26" s="43"/>
      <c r="J26" s="92" cm="1">
        <f t="array" ref="J26">AverageStipeDiameter(I26)</f>
        <v>0</v>
      </c>
    </row>
    <row r="27" spans="1:10" x14ac:dyDescent="0.35">
      <c r="A27" s="27">
        <v>12</v>
      </c>
      <c r="B27" s="7">
        <v>3</v>
      </c>
      <c r="C27" s="7">
        <v>26</v>
      </c>
      <c r="D27" t="str">
        <f t="shared" ca="1" si="0"/>
        <v>80, 21, 26, 81, 84, 83, 85, 46, 26, 24</v>
      </c>
      <c r="E27" s="54" cm="1">
        <f t="array" aca="1" ref="E27" ca="1">AverageStipeDiameter(D27)</f>
        <v>55.6</v>
      </c>
      <c r="F27" s="29">
        <v>32</v>
      </c>
      <c r="G27" s="7"/>
      <c r="H27" s="7"/>
      <c r="I27" s="43"/>
      <c r="J27" s="92" cm="1">
        <f t="array" ref="J27">AverageStipeDiameter(I27)</f>
        <v>0</v>
      </c>
    </row>
    <row r="28" spans="1:10" x14ac:dyDescent="0.35">
      <c r="A28" s="27">
        <v>13</v>
      </c>
      <c r="B28" s="7">
        <v>4</v>
      </c>
      <c r="C28" s="7">
        <v>14</v>
      </c>
      <c r="D28" t="str">
        <f t="shared" ca="1" si="0"/>
        <v>78, 54, 65, 79, 27, 37, 66, 63, 28, 32</v>
      </c>
      <c r="E28" s="54" cm="1">
        <f t="array" aca="1" ref="E28" ca="1">AverageStipeDiameter(D28)</f>
        <v>52.9</v>
      </c>
      <c r="F28" s="29">
        <v>33</v>
      </c>
      <c r="G28" s="7"/>
      <c r="H28" s="7"/>
      <c r="I28" s="43"/>
      <c r="J28" s="92" cm="1">
        <f t="array" ref="J28">AverageStipeDiameter(I28)</f>
        <v>0</v>
      </c>
    </row>
    <row r="29" spans="1:10" x14ac:dyDescent="0.35">
      <c r="A29" s="27">
        <v>14</v>
      </c>
      <c r="B29" s="7">
        <v>1</v>
      </c>
      <c r="C29" s="7">
        <f ca="1">RANDBETWEEN(1,25)</f>
        <v>8</v>
      </c>
      <c r="D29" t="str">
        <f t="shared" ca="1" si="0"/>
        <v>70, 36, 41, 71, 64, 36, 36, 54, 42, 80</v>
      </c>
      <c r="E29" s="54" cm="1">
        <f t="array" aca="1" ref="E29" ca="1">AverageStipeDiameter(D29)</f>
        <v>53</v>
      </c>
      <c r="F29" s="29">
        <v>34</v>
      </c>
      <c r="G29" s="7"/>
      <c r="H29" s="7"/>
      <c r="I29" s="43"/>
      <c r="J29" s="92" cm="1">
        <f t="array" ref="J29">AverageStipeDiameter(I29)</f>
        <v>0</v>
      </c>
    </row>
    <row r="30" spans="1:10" x14ac:dyDescent="0.35">
      <c r="A30" s="27">
        <v>15</v>
      </c>
      <c r="B30" s="7">
        <v>1</v>
      </c>
      <c r="C30" s="7">
        <f t="shared" ref="C30:C35" ca="1" si="1">RANDBETWEEN(1,25)</f>
        <v>9</v>
      </c>
      <c r="D30" t="str">
        <f t="shared" ca="1" si="0"/>
        <v>78, 59, 51, 26, 48, 59, 32, 27, 72, 52</v>
      </c>
      <c r="E30" s="54" cm="1">
        <f t="array" aca="1" ref="E30" ca="1">AverageStipeDiameter(D30)</f>
        <v>50.4</v>
      </c>
      <c r="F30" s="29">
        <v>35</v>
      </c>
      <c r="G30" s="7"/>
      <c r="H30" s="7"/>
      <c r="I30" s="43"/>
      <c r="J30" s="92" cm="1">
        <f t="array" ref="J30">AverageStipeDiameter(I30)</f>
        <v>0</v>
      </c>
    </row>
    <row r="31" spans="1:10" x14ac:dyDescent="0.35">
      <c r="A31" s="27">
        <v>16</v>
      </c>
      <c r="B31" s="7">
        <v>0</v>
      </c>
      <c r="C31" s="7">
        <f t="shared" ca="1" si="1"/>
        <v>6</v>
      </c>
      <c r="D31" t="str">
        <f t="shared" ca="1" si="0"/>
        <v>69, 58, 26, 51, 62, 53, 31, 38, 73, 26</v>
      </c>
      <c r="E31" s="54" cm="1">
        <f t="array" aca="1" ref="E31" ca="1">AverageStipeDiameter(D31)</f>
        <v>48.7</v>
      </c>
      <c r="F31" s="29">
        <v>36</v>
      </c>
      <c r="G31" s="7"/>
      <c r="H31" s="7"/>
      <c r="I31" s="43"/>
      <c r="J31" s="92" cm="1">
        <f t="array" ref="J31">AverageStipeDiameter(I31)</f>
        <v>0</v>
      </c>
    </row>
    <row r="32" spans="1:10" x14ac:dyDescent="0.35">
      <c r="A32" s="27">
        <v>17</v>
      </c>
      <c r="B32" s="7">
        <v>2</v>
      </c>
      <c r="C32" s="7">
        <f t="shared" ca="1" si="1"/>
        <v>4</v>
      </c>
      <c r="D32" t="str">
        <f t="shared" ca="1" si="0"/>
        <v>56, 84, 59, 37, 56, 32, 78, 66, 83, 58</v>
      </c>
      <c r="E32" s="54" cm="1">
        <f t="array" aca="1" ref="E32" ca="1">AverageStipeDiameter(D32)</f>
        <v>60.9</v>
      </c>
      <c r="F32" s="29">
        <v>37</v>
      </c>
      <c r="G32" s="7"/>
      <c r="H32" s="7"/>
      <c r="I32" s="43"/>
      <c r="J32" s="92" cm="1">
        <f t="array" ref="J32">AverageStipeDiameter(I32)</f>
        <v>0</v>
      </c>
    </row>
    <row r="33" spans="1:10" x14ac:dyDescent="0.35">
      <c r="A33" s="27">
        <v>18</v>
      </c>
      <c r="B33" s="7">
        <v>2</v>
      </c>
      <c r="C33" s="7">
        <f t="shared" ca="1" si="1"/>
        <v>5</v>
      </c>
      <c r="D33" t="str">
        <f t="shared" ca="1" si="0"/>
        <v>65, 83, 71, 34, 33, 75, 46, 37, 23, 34</v>
      </c>
      <c r="E33" s="54" cm="1">
        <f t="array" aca="1" ref="E33" ca="1">AverageStipeDiameter(D33)</f>
        <v>50.1</v>
      </c>
      <c r="F33" s="29">
        <v>38</v>
      </c>
      <c r="G33" s="7"/>
      <c r="H33" s="7"/>
      <c r="I33" s="43"/>
      <c r="J33" s="92" cm="1">
        <f t="array" ref="J33">AverageStipeDiameter(I33)</f>
        <v>0</v>
      </c>
    </row>
    <row r="34" spans="1:10" x14ac:dyDescent="0.35">
      <c r="A34" s="27">
        <v>19</v>
      </c>
      <c r="B34" s="7">
        <v>0.5</v>
      </c>
      <c r="C34" s="7">
        <f t="shared" ca="1" si="1"/>
        <v>1</v>
      </c>
      <c r="D34" t="str">
        <f t="shared" ca="1" si="0"/>
        <v>57, 50, 29, 47, 52, 55, 54, 70, 45, 40</v>
      </c>
      <c r="E34" s="54" cm="1">
        <f t="array" aca="1" ref="E34" ca="1">AverageStipeDiameter(D34)</f>
        <v>49.9</v>
      </c>
      <c r="F34" s="29">
        <v>39</v>
      </c>
      <c r="G34" s="7"/>
      <c r="H34" s="7"/>
      <c r="I34" s="43"/>
      <c r="J34" s="92" cm="1">
        <f t="array" ref="J34">AverageStipeDiameter(I34)</f>
        <v>0</v>
      </c>
    </row>
    <row r="35" spans="1:10" ht="15" thickBot="1" x14ac:dyDescent="0.4">
      <c r="A35" s="28">
        <v>20</v>
      </c>
      <c r="B35" s="8">
        <v>1</v>
      </c>
      <c r="C35" s="7">
        <f t="shared" ca="1" si="1"/>
        <v>23</v>
      </c>
      <c r="D35" t="str">
        <f t="shared" ca="1" si="0"/>
        <v>37, 34, 31, 40, 27, 71, 20, 42, 77, 55</v>
      </c>
      <c r="E35" s="93" cm="1">
        <f t="array" aca="1" ref="E35" ca="1">AverageStipeDiameter(D35)</f>
        <v>43.4</v>
      </c>
      <c r="F35" s="30">
        <v>40</v>
      </c>
      <c r="G35" s="8"/>
      <c r="H35" s="8"/>
      <c r="I35" s="44"/>
      <c r="J35" s="94" cm="1">
        <f t="array" ref="J35">AverageStipeDiameter(I35)</f>
        <v>0</v>
      </c>
    </row>
    <row r="36" spans="1:10" ht="17" thickBot="1" x14ac:dyDescent="0.4">
      <c r="A36" s="188" t="s">
        <v>133</v>
      </c>
      <c r="B36" s="189"/>
      <c r="C36" s="80">
        <v>750</v>
      </c>
    </row>
    <row r="37" spans="1:10" ht="17" thickBot="1" x14ac:dyDescent="0.4">
      <c r="A37" s="186" t="s">
        <v>134</v>
      </c>
      <c r="B37" s="187"/>
      <c r="C37" s="81">
        <v>1200</v>
      </c>
    </row>
    <row r="38" spans="1:10" ht="15" thickBot="1" x14ac:dyDescent="0.4">
      <c r="A38" s="182" t="s">
        <v>135</v>
      </c>
      <c r="B38" s="183"/>
      <c r="C38" s="78" cm="1">
        <f t="array" ref="C38">Bryozoans(B16:B35,G16:G35)</f>
        <v>62.631578947368418</v>
      </c>
    </row>
    <row r="39" spans="1:10" ht="15" thickBot="1" x14ac:dyDescent="0.4">
      <c r="A39" s="184" t="s">
        <v>136</v>
      </c>
      <c r="B39" s="185"/>
      <c r="C39" s="79" cm="1">
        <f t="array" aca="1" ref="C39" ca="1">AverageCSVcols(D16:D35,I16:I35)</f>
        <v>51.015000000000001</v>
      </c>
    </row>
    <row r="40" spans="1:10" ht="15" thickBot="1" x14ac:dyDescent="0.4">
      <c r="A40" s="186" t="s">
        <v>137</v>
      </c>
      <c r="B40" s="187"/>
      <c r="C40" s="77">
        <f ca="1">AVERAGE(C16:C35,H16:H35)</f>
        <v>14.4</v>
      </c>
    </row>
  </sheetData>
  <mergeCells count="24">
    <mergeCell ref="A36:B36"/>
    <mergeCell ref="A37:B37"/>
    <mergeCell ref="A38:B38"/>
    <mergeCell ref="A39:B39"/>
    <mergeCell ref="A40:B40"/>
    <mergeCell ref="A14:J14"/>
    <mergeCell ref="A5:B5"/>
    <mergeCell ref="C5:D5"/>
    <mergeCell ref="A6:B6"/>
    <mergeCell ref="C6:D6"/>
    <mergeCell ref="A7:F7"/>
    <mergeCell ref="G8:J8"/>
    <mergeCell ref="I9:J9"/>
    <mergeCell ref="I10:J10"/>
    <mergeCell ref="I11:J11"/>
    <mergeCell ref="I12:J12"/>
    <mergeCell ref="H13:J13"/>
    <mergeCell ref="A4:B4"/>
    <mergeCell ref="C4:D4"/>
    <mergeCell ref="A1:J1"/>
    <mergeCell ref="A2:B2"/>
    <mergeCell ref="C2:D2"/>
    <mergeCell ref="A3:B3"/>
    <mergeCell ref="C3:D3"/>
  </mergeCell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C96B6-EF80-4468-91D7-46926EF34EDF}">
  <sheetPr codeName="Sheet30">
    <tabColor theme="8" tint="0.79998168889431442"/>
  </sheetPr>
  <dimension ref="A1:J40"/>
  <sheetViews>
    <sheetView tabSelected="1" zoomScale="80" zoomScaleNormal="80" workbookViewId="0">
      <selection activeCell="E8" sqref="E8"/>
    </sheetView>
  </sheetViews>
  <sheetFormatPr defaultRowHeight="14.5" x14ac:dyDescent="0.35"/>
  <cols>
    <col min="1" max="1" width="12.54296875" customWidth="1"/>
    <col min="2" max="2" width="12.1796875" bestFit="1" customWidth="1"/>
    <col min="3" max="3" width="10.1796875" customWidth="1"/>
    <col min="4" max="4" width="27" customWidth="1"/>
    <col min="5" max="5" width="21.1796875" customWidth="1"/>
    <col min="6" max="6" width="9.1796875" customWidth="1"/>
    <col min="7" max="7" width="20.81640625" customWidth="1"/>
    <col min="8" max="8" width="12.1796875" bestFit="1" customWidth="1"/>
    <col min="9" max="9" width="17.81640625" bestFit="1" customWidth="1"/>
    <col min="10" max="10" width="10.81640625" customWidth="1"/>
  </cols>
  <sheetData>
    <row r="1" spans="1:10" ht="15" thickBot="1" x14ac:dyDescent="0.4">
      <c r="A1" s="191" t="s">
        <v>66</v>
      </c>
      <c r="B1" s="192"/>
      <c r="C1" s="157"/>
      <c r="D1" s="157"/>
      <c r="E1" s="192"/>
      <c r="F1" s="192"/>
      <c r="G1" s="192"/>
      <c r="H1" s="192"/>
      <c r="I1" s="192"/>
      <c r="J1" s="193"/>
    </row>
    <row r="2" spans="1:10" x14ac:dyDescent="0.35">
      <c r="A2" s="217" t="s">
        <v>67</v>
      </c>
      <c r="B2" s="165"/>
      <c r="C2" s="220" t="s">
        <v>138</v>
      </c>
      <c r="D2" s="221"/>
      <c r="E2" s="13" t="s">
        <v>69</v>
      </c>
      <c r="F2" s="9"/>
      <c r="G2" s="18" t="s">
        <v>70</v>
      </c>
      <c r="H2" s="17"/>
      <c r="I2" s="19" t="s">
        <v>71</v>
      </c>
      <c r="J2" s="16"/>
    </row>
    <row r="3" spans="1:10" x14ac:dyDescent="0.35">
      <c r="A3" s="177" t="s">
        <v>72</v>
      </c>
      <c r="B3" s="172"/>
      <c r="C3" s="151" t="s">
        <v>173</v>
      </c>
      <c r="D3" s="219"/>
      <c r="E3" s="14" t="s">
        <v>73</v>
      </c>
      <c r="F3" s="12"/>
      <c r="G3" s="20" t="s">
        <v>74</v>
      </c>
      <c r="H3" s="20" t="s">
        <v>75</v>
      </c>
      <c r="I3" s="20" t="s">
        <v>76</v>
      </c>
      <c r="J3" s="22" t="s">
        <v>77</v>
      </c>
    </row>
    <row r="4" spans="1:10" x14ac:dyDescent="0.35">
      <c r="A4" s="177" t="s">
        <v>141</v>
      </c>
      <c r="B4" s="172"/>
      <c r="C4" s="151">
        <v>2024</v>
      </c>
      <c r="D4" s="219"/>
      <c r="E4" s="14"/>
      <c r="F4" s="12"/>
      <c r="G4" s="20"/>
      <c r="H4" s="20"/>
      <c r="I4" s="20"/>
      <c r="J4" s="22"/>
    </row>
    <row r="5" spans="1:10" x14ac:dyDescent="0.35">
      <c r="A5" s="177" t="s">
        <v>79</v>
      </c>
      <c r="B5" s="172"/>
      <c r="C5" s="153">
        <v>45501</v>
      </c>
      <c r="D5" s="219"/>
      <c r="E5" s="105" t="s">
        <v>80</v>
      </c>
      <c r="F5" s="10"/>
      <c r="G5" s="20" t="s">
        <v>81</v>
      </c>
      <c r="H5" s="3"/>
      <c r="I5" s="3"/>
      <c r="J5" s="4"/>
    </row>
    <row r="6" spans="1:10" ht="15" thickBot="1" x14ac:dyDescent="0.4">
      <c r="A6" s="218" t="s">
        <v>82</v>
      </c>
      <c r="B6" s="190"/>
      <c r="C6" s="154" t="s">
        <v>83</v>
      </c>
      <c r="D6" s="222"/>
      <c r="E6" s="15" t="s">
        <v>84</v>
      </c>
      <c r="F6" s="11"/>
      <c r="G6" s="21" t="s">
        <v>85</v>
      </c>
      <c r="H6" s="5"/>
      <c r="I6" s="5"/>
      <c r="J6" s="6"/>
    </row>
    <row r="7" spans="1:10" x14ac:dyDescent="0.35">
      <c r="A7" s="159" t="s">
        <v>86</v>
      </c>
      <c r="B7" s="160"/>
      <c r="C7" s="160"/>
      <c r="D7" s="160"/>
      <c r="E7" s="160"/>
      <c r="F7" s="161"/>
      <c r="G7" s="2" t="s">
        <v>87</v>
      </c>
      <c r="H7" s="2"/>
      <c r="I7" s="2"/>
      <c r="J7" s="1"/>
    </row>
    <row r="8" spans="1:10" x14ac:dyDescent="0.35">
      <c r="A8" s="23" t="s">
        <v>88</v>
      </c>
      <c r="B8" s="20" t="s">
        <v>89</v>
      </c>
      <c r="C8" s="20" t="s">
        <v>90</v>
      </c>
      <c r="D8" s="20" t="s">
        <v>88</v>
      </c>
      <c r="E8" s="20" t="s">
        <v>89</v>
      </c>
      <c r="F8" s="20" t="s">
        <v>90</v>
      </c>
      <c r="G8" s="177" t="s">
        <v>91</v>
      </c>
      <c r="H8" s="167"/>
      <c r="I8" s="167"/>
      <c r="J8" s="172"/>
    </row>
    <row r="9" spans="1:10" x14ac:dyDescent="0.35">
      <c r="A9" s="23" t="s">
        <v>92</v>
      </c>
      <c r="B9" s="3">
        <v>15</v>
      </c>
      <c r="C9" s="3"/>
      <c r="D9" s="20" t="s">
        <v>93</v>
      </c>
      <c r="E9" s="3">
        <v>15</v>
      </c>
      <c r="F9" s="3"/>
      <c r="G9" s="20" t="s">
        <v>89</v>
      </c>
      <c r="H9" s="20" t="s">
        <v>94</v>
      </c>
      <c r="I9" s="177" t="s">
        <v>95</v>
      </c>
      <c r="J9" s="172"/>
    </row>
    <row r="10" spans="1:10" x14ac:dyDescent="0.35">
      <c r="A10" s="23" t="s">
        <v>96</v>
      </c>
      <c r="B10" s="3">
        <v>30</v>
      </c>
      <c r="C10" s="3"/>
      <c r="D10" s="20" t="s">
        <v>97</v>
      </c>
      <c r="E10" s="3">
        <v>8</v>
      </c>
      <c r="F10" s="3"/>
      <c r="G10" s="25" t="s">
        <v>98</v>
      </c>
      <c r="H10" s="3">
        <v>16</v>
      </c>
      <c r="I10" s="178">
        <v>29</v>
      </c>
      <c r="J10" s="179"/>
    </row>
    <row r="11" spans="1:10" x14ac:dyDescent="0.35">
      <c r="A11" s="23" t="s">
        <v>99</v>
      </c>
      <c r="B11" s="3">
        <v>20</v>
      </c>
      <c r="C11" s="3"/>
      <c r="D11" s="20" t="s">
        <v>100</v>
      </c>
      <c r="E11" s="3">
        <v>22</v>
      </c>
      <c r="F11" s="3"/>
      <c r="G11" s="25" t="s">
        <v>101</v>
      </c>
      <c r="H11" s="3">
        <v>11</v>
      </c>
      <c r="I11" s="178">
        <v>32</v>
      </c>
      <c r="J11" s="179"/>
    </row>
    <row r="12" spans="1:10" x14ac:dyDescent="0.35">
      <c r="A12" s="23" t="s">
        <v>102</v>
      </c>
      <c r="B12" s="3">
        <v>5</v>
      </c>
      <c r="C12" s="3"/>
      <c r="D12" s="20" t="s">
        <v>103</v>
      </c>
      <c r="E12" s="3">
        <v>18</v>
      </c>
      <c r="F12" s="3"/>
      <c r="G12" s="25" t="s">
        <v>104</v>
      </c>
      <c r="H12" s="3">
        <v>10.5</v>
      </c>
      <c r="I12" s="178">
        <v>31</v>
      </c>
      <c r="J12" s="179"/>
    </row>
    <row r="13" spans="1:10" ht="15" thickBot="1" x14ac:dyDescent="0.4">
      <c r="A13" s="24" t="s">
        <v>105</v>
      </c>
      <c r="B13" s="5">
        <v>25</v>
      </c>
      <c r="C13" s="5"/>
      <c r="D13" s="21" t="s">
        <v>106</v>
      </c>
      <c r="E13" s="5">
        <v>9</v>
      </c>
      <c r="F13" s="5"/>
      <c r="G13" s="26" t="s">
        <v>107</v>
      </c>
      <c r="H13" s="180"/>
      <c r="I13" s="180"/>
      <c r="J13" s="181"/>
    </row>
    <row r="14" spans="1:10" ht="15" thickBot="1" x14ac:dyDescent="0.4">
      <c r="A14" s="174" t="s">
        <v>108</v>
      </c>
      <c r="B14" s="175"/>
      <c r="C14" s="175"/>
      <c r="D14" s="175"/>
      <c r="E14" s="175"/>
      <c r="F14" s="175"/>
      <c r="G14" s="175"/>
      <c r="H14" s="175"/>
      <c r="I14" s="175"/>
      <c r="J14" s="176"/>
    </row>
    <row r="15" spans="1:10" x14ac:dyDescent="0.35">
      <c r="A15" s="46" t="s">
        <v>109</v>
      </c>
      <c r="B15" s="47" t="s">
        <v>110</v>
      </c>
      <c r="C15" s="47" t="s">
        <v>111</v>
      </c>
      <c r="D15" s="48" t="s">
        <v>112</v>
      </c>
      <c r="E15" s="52" t="s">
        <v>60</v>
      </c>
      <c r="F15" s="49" t="s">
        <v>109</v>
      </c>
      <c r="G15" s="47" t="s">
        <v>110</v>
      </c>
      <c r="H15" s="47" t="s">
        <v>111</v>
      </c>
      <c r="I15" s="50" t="s">
        <v>112</v>
      </c>
      <c r="J15" s="53" t="s">
        <v>60</v>
      </c>
    </row>
    <row r="16" spans="1:10" x14ac:dyDescent="0.35">
      <c r="A16" s="27">
        <v>1</v>
      </c>
      <c r="B16" s="7">
        <v>5</v>
      </c>
      <c r="C16" s="7">
        <v>10</v>
      </c>
      <c r="D16" t="str">
        <f ca="1">_xlfn.TEXTJOIN(", ", TRUE, RANDBETWEEN(20, 85), RANDBETWEEN(20, 85), RANDBETWEEN(20, 85), RANDBETWEEN(20, 85), RANDBETWEEN(20, 85), RANDBETWEEN(20, 85), RANDBETWEEN(20, 85), RANDBETWEEN(20, 85), RANDBETWEEN(20, 85), RANDBETWEEN(20, 85))</f>
        <v>24, 52, 62, 66, 65, 26, 30, 50, 66, 51</v>
      </c>
      <c r="E16" s="54" cm="1">
        <f t="array" aca="1" ref="E16" ca="1">AverageStipeDiameter(D16)</f>
        <v>49.2</v>
      </c>
      <c r="F16" s="29">
        <v>21</v>
      </c>
      <c r="G16" s="7"/>
      <c r="H16" s="7"/>
      <c r="J16" s="92" cm="1">
        <f t="array" ref="J16">AverageStipeDiameter(I16)</f>
        <v>0</v>
      </c>
    </row>
    <row r="17" spans="1:10" x14ac:dyDescent="0.35">
      <c r="A17" s="27">
        <v>2</v>
      </c>
      <c r="B17" s="7">
        <v>5</v>
      </c>
      <c r="C17" s="7">
        <v>17</v>
      </c>
      <c r="D17" t="str">
        <f t="shared" ref="D17:D28" ca="1" si="0">_xlfn.TEXTJOIN(", ", TRUE, RANDBETWEEN(20, 85), RANDBETWEEN(20, 85), RANDBETWEEN(20, 85), RANDBETWEEN(20, 85), RANDBETWEEN(20, 85), RANDBETWEEN(20, 85), RANDBETWEEN(20, 85), RANDBETWEEN(20, 85), RANDBETWEEN(20, 85), RANDBETWEEN(20, 85))</f>
        <v>53, 74, 47, 49, 45, 54, 28, 26, 43, 22</v>
      </c>
      <c r="E17" s="54" cm="1">
        <f t="array" aca="1" ref="E17" ca="1">AverageStipeDiameter(D17)</f>
        <v>44.1</v>
      </c>
      <c r="F17" s="29">
        <v>22</v>
      </c>
      <c r="G17" s="7"/>
      <c r="H17" s="7"/>
      <c r="I17" s="43"/>
      <c r="J17" s="92" cm="1">
        <f t="array" ref="J17">AverageStipeDiameter(I17)</f>
        <v>0</v>
      </c>
    </row>
    <row r="18" spans="1:10" x14ac:dyDescent="0.35">
      <c r="A18" s="27">
        <v>3</v>
      </c>
      <c r="B18" s="7">
        <v>5</v>
      </c>
      <c r="C18" s="7">
        <v>21</v>
      </c>
      <c r="D18" t="str">
        <f t="shared" ca="1" si="0"/>
        <v>54, 81, 79, 45, 45, 72, 69, 53, 28, 30</v>
      </c>
      <c r="E18" s="54" cm="1">
        <f t="array" aca="1" ref="E18" ca="1">AverageStipeDiameter(D18)</f>
        <v>55.6</v>
      </c>
      <c r="F18" s="29">
        <v>23</v>
      </c>
      <c r="G18" s="7"/>
      <c r="H18" s="7"/>
      <c r="I18" s="43"/>
      <c r="J18" s="92" cm="1">
        <f t="array" ref="J18">AverageStipeDiameter(I18)</f>
        <v>0</v>
      </c>
    </row>
    <row r="19" spans="1:10" x14ac:dyDescent="0.35">
      <c r="A19" s="27">
        <v>4</v>
      </c>
      <c r="B19" s="7">
        <v>5</v>
      </c>
      <c r="C19" s="7">
        <v>23</v>
      </c>
      <c r="D19" t="str">
        <f t="shared" ca="1" si="0"/>
        <v>66, 41, 46, 75, 71, 22, 42, 85, 49, 59</v>
      </c>
      <c r="E19" s="54" cm="1">
        <f t="array" aca="1" ref="E19" ca="1">AverageStipeDiameter(D19)</f>
        <v>55.6</v>
      </c>
      <c r="F19" s="29">
        <v>24</v>
      </c>
      <c r="G19" s="7"/>
      <c r="H19" s="7"/>
      <c r="I19" s="43"/>
      <c r="J19" s="92" cm="1">
        <f t="array" ref="J19">AverageStipeDiameter(I19)</f>
        <v>0</v>
      </c>
    </row>
    <row r="20" spans="1:10" x14ac:dyDescent="0.35">
      <c r="A20" s="27">
        <v>5</v>
      </c>
      <c r="B20" s="7">
        <v>5</v>
      </c>
      <c r="C20" s="7">
        <v>5</v>
      </c>
      <c r="D20" t="str">
        <f t="shared" ca="1" si="0"/>
        <v>70, 44, 70, 75, 20, 29, 40, 62, 56, 63</v>
      </c>
      <c r="E20" s="54" cm="1">
        <f t="array" aca="1" ref="E20" ca="1">AverageStipeDiameter(D20)</f>
        <v>52.9</v>
      </c>
      <c r="F20" s="29">
        <v>25</v>
      </c>
      <c r="G20" s="7"/>
      <c r="H20" s="7"/>
      <c r="I20" s="43"/>
      <c r="J20" s="92" cm="1">
        <f t="array" ref="J20">AverageStipeDiameter(I20)</f>
        <v>0</v>
      </c>
    </row>
    <row r="21" spans="1:10" x14ac:dyDescent="0.35">
      <c r="A21" s="27">
        <v>6</v>
      </c>
      <c r="B21" s="7">
        <v>5</v>
      </c>
      <c r="C21" s="7">
        <v>7</v>
      </c>
      <c r="D21" t="str">
        <f t="shared" ca="1" si="0"/>
        <v>26, 83, 50, 31, 64, 39, 32, 56, 62, 75</v>
      </c>
      <c r="E21" s="54" cm="1">
        <f t="array" aca="1" ref="E21" ca="1">AverageStipeDiameter(D21)</f>
        <v>51.8</v>
      </c>
      <c r="F21" s="29">
        <v>26</v>
      </c>
      <c r="G21" s="7"/>
      <c r="H21" s="7"/>
      <c r="I21" s="43"/>
      <c r="J21" s="92" cm="1">
        <f t="array" ref="J21">AverageStipeDiameter(I21)</f>
        <v>0</v>
      </c>
    </row>
    <row r="22" spans="1:10" x14ac:dyDescent="0.35">
      <c r="A22" s="27">
        <v>7</v>
      </c>
      <c r="B22" s="7">
        <v>5</v>
      </c>
      <c r="C22" s="7">
        <v>28</v>
      </c>
      <c r="D22" t="str">
        <f t="shared" ca="1" si="0"/>
        <v>26, 70, 32, 32, 29, 58, 34, 20, 53, 83</v>
      </c>
      <c r="E22" s="54" cm="1">
        <f t="array" aca="1" ref="E22" ca="1">AverageStipeDiameter(D22)</f>
        <v>43.7</v>
      </c>
      <c r="F22" s="29">
        <v>27</v>
      </c>
      <c r="G22" s="7"/>
      <c r="H22" s="7"/>
      <c r="I22" s="43"/>
      <c r="J22" s="92" cm="1">
        <f t="array" ref="J22">AverageStipeDiameter(I22)</f>
        <v>0</v>
      </c>
    </row>
    <row r="23" spans="1:10" x14ac:dyDescent="0.35">
      <c r="A23" s="27">
        <v>8</v>
      </c>
      <c r="B23" s="7">
        <v>4</v>
      </c>
      <c r="C23" s="7">
        <v>15</v>
      </c>
      <c r="D23" t="str">
        <f t="shared" ca="1" si="0"/>
        <v>49, 28, 55, 24, 37, 62, 24, 46, 74, 78</v>
      </c>
      <c r="E23" s="54" cm="1">
        <f t="array" aca="1" ref="E23" ca="1">AverageStipeDiameter(D23)</f>
        <v>47.7</v>
      </c>
      <c r="F23" s="29">
        <v>28</v>
      </c>
      <c r="G23" s="7"/>
      <c r="H23" s="7"/>
      <c r="I23" s="43"/>
      <c r="J23" s="92" cm="1">
        <f t="array" ref="J23">AverageStipeDiameter(I23)</f>
        <v>0</v>
      </c>
    </row>
    <row r="24" spans="1:10" x14ac:dyDescent="0.35">
      <c r="A24" s="27">
        <v>9</v>
      </c>
      <c r="B24" s="7">
        <v>5</v>
      </c>
      <c r="C24" s="7">
        <v>27</v>
      </c>
      <c r="D24" t="str">
        <f t="shared" ca="1" si="0"/>
        <v>29, 68, 85, 60, 80, 36, 42, 55, 32, 51</v>
      </c>
      <c r="E24" s="54" cm="1">
        <f t="array" aca="1" ref="E24" ca="1">AverageStipeDiameter(D24)</f>
        <v>53.8</v>
      </c>
      <c r="F24" s="29">
        <v>29</v>
      </c>
      <c r="G24" s="7"/>
      <c r="H24" s="7"/>
      <c r="I24" s="43"/>
      <c r="J24" s="92" cm="1">
        <f t="array" ref="J24">AverageStipeDiameter(I24)</f>
        <v>0</v>
      </c>
    </row>
    <row r="25" spans="1:10" x14ac:dyDescent="0.35">
      <c r="A25" s="27">
        <v>10</v>
      </c>
      <c r="B25" s="7">
        <v>5</v>
      </c>
      <c r="C25" s="7">
        <v>14</v>
      </c>
      <c r="D25" t="str">
        <f t="shared" ca="1" si="0"/>
        <v>64, 57, 58, 61, 44, 61, 85, 81, 36, 74</v>
      </c>
      <c r="E25" s="54" cm="1">
        <f t="array" aca="1" ref="E25" ca="1">AverageStipeDiameter(D25)</f>
        <v>62.1</v>
      </c>
      <c r="F25" s="29">
        <v>30</v>
      </c>
      <c r="G25" s="7"/>
      <c r="H25" s="7"/>
      <c r="I25" s="43"/>
      <c r="J25" s="92" cm="1">
        <f t="array" ref="J25">AverageStipeDiameter(I25)</f>
        <v>0</v>
      </c>
    </row>
    <row r="26" spans="1:10" x14ac:dyDescent="0.35">
      <c r="A26" s="27">
        <v>11</v>
      </c>
      <c r="B26" s="7">
        <v>5</v>
      </c>
      <c r="C26" s="7">
        <v>25</v>
      </c>
      <c r="D26" t="str">
        <f t="shared" ca="1" si="0"/>
        <v>74, 62, 48, 63, 29, 66, 55, 42, 43, 36</v>
      </c>
      <c r="E26" s="54" cm="1">
        <f t="array" aca="1" ref="E26" ca="1">AverageStipeDiameter(D26)</f>
        <v>51.8</v>
      </c>
      <c r="F26" s="29">
        <v>31</v>
      </c>
      <c r="G26" s="7"/>
      <c r="H26" s="7"/>
      <c r="I26" s="43"/>
      <c r="J26" s="92" cm="1">
        <f t="array" ref="J26">AverageStipeDiameter(I26)</f>
        <v>0</v>
      </c>
    </row>
    <row r="27" spans="1:10" x14ac:dyDescent="0.35">
      <c r="A27" s="27">
        <v>12</v>
      </c>
      <c r="B27" s="7">
        <v>3</v>
      </c>
      <c r="C27" s="7">
        <v>26</v>
      </c>
      <c r="D27" t="str">
        <f t="shared" ca="1" si="0"/>
        <v>35, 71, 74, 61, 74, 55, 75, 70, 46, 43</v>
      </c>
      <c r="E27" s="54" cm="1">
        <f t="array" aca="1" ref="E27" ca="1">AverageStipeDiameter(D27)</f>
        <v>60.4</v>
      </c>
      <c r="F27" s="29">
        <v>32</v>
      </c>
      <c r="G27" s="7"/>
      <c r="H27" s="7"/>
      <c r="I27" s="43"/>
      <c r="J27" s="92" cm="1">
        <f t="array" ref="J27">AverageStipeDiameter(I27)</f>
        <v>0</v>
      </c>
    </row>
    <row r="28" spans="1:10" x14ac:dyDescent="0.35">
      <c r="A28" s="27">
        <v>13</v>
      </c>
      <c r="B28" s="7">
        <v>4</v>
      </c>
      <c r="C28" s="7">
        <v>14</v>
      </c>
      <c r="D28" t="str">
        <f t="shared" ca="1" si="0"/>
        <v>59, 64, 32, 30, 55, 70, 37, 83, 74, 77</v>
      </c>
      <c r="E28" s="54" cm="1">
        <f t="array" aca="1" ref="E28" ca="1">AverageStipeDiameter(D28)</f>
        <v>58.1</v>
      </c>
      <c r="F28" s="29">
        <v>33</v>
      </c>
      <c r="G28" s="7"/>
      <c r="H28" s="7"/>
      <c r="I28" s="43"/>
      <c r="J28" s="92" cm="1">
        <f t="array" ref="J28">AverageStipeDiameter(I28)</f>
        <v>0</v>
      </c>
    </row>
    <row r="29" spans="1:10" x14ac:dyDescent="0.35">
      <c r="A29" s="27">
        <v>14</v>
      </c>
      <c r="B29" s="7"/>
      <c r="C29" s="7"/>
      <c r="D29" s="142"/>
      <c r="E29" s="54" cm="1">
        <f t="array" ref="E29">AverageStipeDiameter(D29)</f>
        <v>0</v>
      </c>
      <c r="F29" s="29">
        <v>34</v>
      </c>
      <c r="G29" s="7"/>
      <c r="H29" s="7"/>
      <c r="I29" s="43"/>
      <c r="J29" s="92" cm="1">
        <f t="array" ref="J29">AverageStipeDiameter(I29)</f>
        <v>0</v>
      </c>
    </row>
    <row r="30" spans="1:10" x14ac:dyDescent="0.35">
      <c r="A30" s="27">
        <v>15</v>
      </c>
      <c r="B30" s="7"/>
      <c r="C30" s="7"/>
      <c r="D30" s="142"/>
      <c r="E30" s="54" cm="1">
        <f t="array" ref="E30">AverageStipeDiameter(D30)</f>
        <v>0</v>
      </c>
      <c r="F30" s="29">
        <v>35</v>
      </c>
      <c r="G30" s="7"/>
      <c r="H30" s="7"/>
      <c r="I30" s="43"/>
      <c r="J30" s="92" cm="1">
        <f t="array" ref="J30">AverageStipeDiameter(I30)</f>
        <v>0</v>
      </c>
    </row>
    <row r="31" spans="1:10" x14ac:dyDescent="0.35">
      <c r="A31" s="27">
        <v>16</v>
      </c>
      <c r="B31" s="7"/>
      <c r="C31" s="7"/>
      <c r="D31" s="142"/>
      <c r="E31" s="54" cm="1">
        <f t="array" ref="E31">AverageStipeDiameter(D31)</f>
        <v>0</v>
      </c>
      <c r="F31" s="29">
        <v>36</v>
      </c>
      <c r="G31" s="7"/>
      <c r="H31" s="7"/>
      <c r="I31" s="43"/>
      <c r="J31" s="92" cm="1">
        <f t="array" ref="J31">AverageStipeDiameter(I31)</f>
        <v>0</v>
      </c>
    </row>
    <row r="32" spans="1:10" x14ac:dyDescent="0.35">
      <c r="A32" s="27">
        <v>17</v>
      </c>
      <c r="B32" s="7"/>
      <c r="C32" s="7"/>
      <c r="D32" s="142"/>
      <c r="E32" s="54" cm="1">
        <f t="array" ref="E32">AverageStipeDiameter(D32)</f>
        <v>0</v>
      </c>
      <c r="F32" s="29">
        <v>37</v>
      </c>
      <c r="G32" s="7"/>
      <c r="H32" s="7"/>
      <c r="I32" s="43"/>
      <c r="J32" s="92" cm="1">
        <f t="array" ref="J32">AverageStipeDiameter(I32)</f>
        <v>0</v>
      </c>
    </row>
    <row r="33" spans="1:10" x14ac:dyDescent="0.35">
      <c r="A33" s="27">
        <v>18</v>
      </c>
      <c r="B33" s="7"/>
      <c r="C33" s="7"/>
      <c r="D33" s="142"/>
      <c r="E33" s="54" cm="1">
        <f t="array" ref="E33">AverageStipeDiameter(D33)</f>
        <v>0</v>
      </c>
      <c r="F33" s="29">
        <v>38</v>
      </c>
      <c r="G33" s="7"/>
      <c r="H33" s="7"/>
      <c r="I33" s="43"/>
      <c r="J33" s="92" cm="1">
        <f t="array" ref="J33">AverageStipeDiameter(I33)</f>
        <v>0</v>
      </c>
    </row>
    <row r="34" spans="1:10" x14ac:dyDescent="0.35">
      <c r="A34" s="27">
        <v>19</v>
      </c>
      <c r="B34" s="7"/>
      <c r="C34" s="7"/>
      <c r="D34" s="142"/>
      <c r="E34" s="54" cm="1">
        <f t="array" ref="E34">AverageStipeDiameter(D34)</f>
        <v>0</v>
      </c>
      <c r="F34" s="29">
        <v>39</v>
      </c>
      <c r="G34" s="7"/>
      <c r="H34" s="7"/>
      <c r="I34" s="43"/>
      <c r="J34" s="92" cm="1">
        <f t="array" ref="J34">AverageStipeDiameter(I34)</f>
        <v>0</v>
      </c>
    </row>
    <row r="35" spans="1:10" ht="15" thickBot="1" x14ac:dyDescent="0.4">
      <c r="A35" s="28">
        <v>20</v>
      </c>
      <c r="B35" s="8"/>
      <c r="C35" s="8"/>
      <c r="D35" s="51"/>
      <c r="E35" s="93" cm="1">
        <f t="array" ref="E35">AverageStipeDiameter(D35)</f>
        <v>0</v>
      </c>
      <c r="F35" s="30">
        <v>40</v>
      </c>
      <c r="G35" s="8"/>
      <c r="H35" s="8"/>
      <c r="I35" s="44"/>
      <c r="J35" s="94" cm="1">
        <f t="array" ref="J35">AverageStipeDiameter(I35)</f>
        <v>0</v>
      </c>
    </row>
    <row r="36" spans="1:10" ht="17" thickBot="1" x14ac:dyDescent="0.4">
      <c r="A36" s="188" t="s">
        <v>133</v>
      </c>
      <c r="B36" s="189"/>
      <c r="C36" s="80">
        <v>900</v>
      </c>
    </row>
    <row r="37" spans="1:10" ht="17" thickBot="1" x14ac:dyDescent="0.4">
      <c r="A37" s="186" t="s">
        <v>134</v>
      </c>
      <c r="B37" s="187"/>
      <c r="C37" s="81">
        <v>1200</v>
      </c>
    </row>
    <row r="38" spans="1:10" ht="15" thickBot="1" x14ac:dyDescent="0.4">
      <c r="A38" s="182" t="s">
        <v>135</v>
      </c>
      <c r="B38" s="183"/>
      <c r="C38" s="78" cm="1">
        <f t="array" ref="C38">Bryozoans(B16:B35,G16:G35)</f>
        <v>83.84615384615384</v>
      </c>
    </row>
    <row r="39" spans="1:10" ht="15" thickBot="1" x14ac:dyDescent="0.4">
      <c r="A39" s="184" t="s">
        <v>136</v>
      </c>
      <c r="B39" s="185"/>
      <c r="C39" s="79" cm="1">
        <f t="array" aca="1" ref="C39" ca="1">AverageCSVcols(D16:D35,I16:I35)</f>
        <v>52.830769230769228</v>
      </c>
    </row>
    <row r="40" spans="1:10" ht="15" thickBot="1" x14ac:dyDescent="0.4">
      <c r="A40" s="186" t="s">
        <v>137</v>
      </c>
      <c r="B40" s="187"/>
      <c r="C40" s="77">
        <f>AVERAGE(C16:C35,H16:H35)</f>
        <v>17.846153846153847</v>
      </c>
    </row>
  </sheetData>
  <mergeCells count="24">
    <mergeCell ref="A36:B36"/>
    <mergeCell ref="A37:B37"/>
    <mergeCell ref="A38:B38"/>
    <mergeCell ref="A39:B39"/>
    <mergeCell ref="A40:B40"/>
    <mergeCell ref="A14:J14"/>
    <mergeCell ref="A5:B5"/>
    <mergeCell ref="C5:D5"/>
    <mergeCell ref="A6:B6"/>
    <mergeCell ref="C6:D6"/>
    <mergeCell ref="A7:F7"/>
    <mergeCell ref="G8:J8"/>
    <mergeCell ref="I9:J9"/>
    <mergeCell ref="I10:J10"/>
    <mergeCell ref="I11:J11"/>
    <mergeCell ref="I12:J12"/>
    <mergeCell ref="H13:J13"/>
    <mergeCell ref="A4:B4"/>
    <mergeCell ref="C4:D4"/>
    <mergeCell ref="A1:J1"/>
    <mergeCell ref="A2:B2"/>
    <mergeCell ref="C2:D2"/>
    <mergeCell ref="A3:B3"/>
    <mergeCell ref="C3:D3"/>
  </mergeCell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52B6B-08B6-45F7-812A-8AA0446ED550}">
  <sheetPr codeName="Sheet31">
    <tabColor rgb="FF00B0F0"/>
  </sheetPr>
  <dimension ref="A4:H87"/>
  <sheetViews>
    <sheetView zoomScale="80" zoomScaleNormal="80" workbookViewId="0">
      <selection activeCell="F34" sqref="F34"/>
    </sheetView>
  </sheetViews>
  <sheetFormatPr defaultColWidth="9.1796875" defaultRowHeight="14.5" x14ac:dyDescent="0.35"/>
  <cols>
    <col min="1" max="1" width="9.1796875" style="31"/>
    <col min="2" max="2" width="18.1796875" style="31" bestFit="1" customWidth="1"/>
    <col min="3" max="6" width="11.81640625" style="31" bestFit="1" customWidth="1"/>
    <col min="7" max="8" width="12.1796875" style="31" customWidth="1"/>
    <col min="9" max="16384" width="9.1796875" style="31"/>
  </cols>
  <sheetData>
    <row r="4" spans="1:8" ht="16" x14ac:dyDescent="0.4">
      <c r="A4" s="38"/>
    </row>
    <row r="5" spans="1:8" ht="21" x14ac:dyDescent="0.45">
      <c r="A5" s="45" t="s">
        <v>162</v>
      </c>
      <c r="B5" s="55" t="str">
        <f>'2020 Bull Kelp Datasheet Site1'!C2</f>
        <v>Site 1</v>
      </c>
      <c r="C5" s="229" t="s">
        <v>163</v>
      </c>
      <c r="D5" s="229"/>
      <c r="E5" s="229"/>
      <c r="F5" s="229"/>
      <c r="G5" s="229"/>
      <c r="H5" s="230"/>
    </row>
    <row r="6" spans="1:8" ht="16" x14ac:dyDescent="0.4">
      <c r="A6" s="45"/>
      <c r="B6" s="42" t="s">
        <v>141</v>
      </c>
      <c r="C6" s="101">
        <f>'2019 Bull Kelp Datasheet Site1'!C4</f>
        <v>2019</v>
      </c>
      <c r="D6" s="101">
        <f>'2020 Bull Kelp Datasheet Site1'!C4</f>
        <v>2020</v>
      </c>
      <c r="E6" s="101">
        <f>'2021 Bull Kelp Datasheet Site1'!C4</f>
        <v>2021</v>
      </c>
      <c r="F6" s="101">
        <f>'2022 Bull Kelp Datasheet Site1'!C4</f>
        <v>2022</v>
      </c>
      <c r="G6" s="101">
        <f>'2023 Bull Kelp Datasheet Site1'!C4</f>
        <v>2023</v>
      </c>
      <c r="H6" s="129">
        <f>'2024 Bull Kelp Datasheet Site1'!C4</f>
        <v>2024</v>
      </c>
    </row>
    <row r="7" spans="1:8" ht="16" x14ac:dyDescent="0.4">
      <c r="A7" s="45"/>
      <c r="B7" s="64"/>
      <c r="C7" s="84">
        <f>'2019 Bull Kelp Datasheet Site1'!C36</f>
        <v>700</v>
      </c>
      <c r="D7" s="84">
        <f>'2020 Bull Kelp Datasheet Site1'!C36</f>
        <v>600</v>
      </c>
      <c r="E7" s="84">
        <f>'2021 Bull Kelp Datasheet Site1'!C36</f>
        <v>850</v>
      </c>
      <c r="F7" s="84">
        <f>'2022 Bull Kelp Datasheet Site1'!C36</f>
        <v>1500</v>
      </c>
      <c r="G7" s="130">
        <f>'2023 Bull Kelp Datasheet Site1'!C36</f>
        <v>1000</v>
      </c>
      <c r="H7" s="131">
        <f>'2024 Bull Kelp Datasheet Site1'!C36</f>
        <v>800</v>
      </c>
    </row>
    <row r="8" spans="1:8" ht="16" x14ac:dyDescent="0.4">
      <c r="A8" s="45"/>
      <c r="B8" s="36"/>
      <c r="C8" s="65"/>
      <c r="D8" s="65"/>
      <c r="E8" s="65"/>
      <c r="F8" s="65"/>
    </row>
    <row r="9" spans="1:8" ht="16" x14ac:dyDescent="0.4">
      <c r="A9" s="45"/>
      <c r="B9" s="36"/>
    </row>
    <row r="10" spans="1:8" ht="16" x14ac:dyDescent="0.4">
      <c r="A10" s="45"/>
    </row>
    <row r="11" spans="1:8" ht="21" x14ac:dyDescent="0.45">
      <c r="A11" s="45" t="s">
        <v>164</v>
      </c>
      <c r="B11" s="55" t="str">
        <f>'2020 Bull Kelp Datasheet Site1'!C2</f>
        <v>Site 1</v>
      </c>
      <c r="C11" s="229" t="s">
        <v>165</v>
      </c>
      <c r="D11" s="229"/>
      <c r="E11" s="229"/>
      <c r="F11" s="229"/>
      <c r="G11" s="229"/>
      <c r="H11" s="230"/>
    </row>
    <row r="12" spans="1:8" ht="16" x14ac:dyDescent="0.4">
      <c r="A12" s="38"/>
      <c r="B12" s="42" t="s">
        <v>141</v>
      </c>
      <c r="C12" s="101" t="str">
        <f t="shared" ref="C12:H12" ca="1" si="0">_xlfn.CONCAT(C6, " ", "(n = ", C15,")")</f>
        <v>2019 (n = 40)</v>
      </c>
      <c r="D12" s="101" t="str">
        <f t="shared" si="0"/>
        <v>2020 (n = 10)</v>
      </c>
      <c r="E12" s="101" t="str">
        <f t="shared" si="0"/>
        <v>2021 (n = 26)</v>
      </c>
      <c r="F12" s="101" t="str">
        <f t="shared" si="0"/>
        <v>2022 (n = 13)</v>
      </c>
      <c r="G12" s="101" t="str">
        <f t="shared" ca="1" si="0"/>
        <v>2023 (n = 27)</v>
      </c>
      <c r="H12" s="129" t="str">
        <f t="shared" si="0"/>
        <v>2024 (n = 17)</v>
      </c>
    </row>
    <row r="13" spans="1:8" x14ac:dyDescent="0.35">
      <c r="B13" s="55" t="s">
        <v>60</v>
      </c>
      <c r="C13" s="108">
        <f ca="1">AVERAGE('2019 Bull Kelp Datasheet Site1'!$C$16:$C$35,'2019 Bull Kelp Datasheet Site1'!$H$16:$H$35)</f>
        <v>10.95</v>
      </c>
      <c r="D13" s="108">
        <f>AVERAGE('2020 Bull Kelp Datasheet Site1'!$C$16:$C$35,'2020 Bull Kelp Datasheet Site1'!$H$16:$H$35)</f>
        <v>9.5</v>
      </c>
      <c r="E13" s="108">
        <f>AVERAGE('2021 Bull Kelp Datasheet Site1'!$C$16:$C$35,'2021 Bull Kelp Datasheet Site1'!$H$16:$H$35)</f>
        <v>12.692307692307692</v>
      </c>
      <c r="F13" s="108">
        <f>AVERAGE('2022 Bull Kelp Datasheet Site1'!$C$15:$C$34,'2022 Bull Kelp Datasheet Site1'!$H$15:$H$34)</f>
        <v>17.846153846153847</v>
      </c>
      <c r="G13" s="134">
        <f ca="1">AVERAGE('2023 Bull Kelp Datasheet Site1'!$C$15:$C$34,'2023 Bull Kelp Datasheet Site1'!$H$15:$H$34)</f>
        <v>14.461538461538462</v>
      </c>
      <c r="H13" s="135">
        <f>AVERAGE('2024 Bull Kelp Datasheet Site1'!$C$15:$C$34,'2024 Bull Kelp Datasheet Site1'!$H$15:$H$34)</f>
        <v>17.764705882352942</v>
      </c>
    </row>
    <row r="14" spans="1:8" x14ac:dyDescent="0.35">
      <c r="B14" s="42" t="s">
        <v>166</v>
      </c>
      <c r="C14" s="132">
        <f ca="1">_xlfn.STDEV.P('2019 Bull Kelp Datasheet Site1'!$C$16:$C$35,'2019 Bull Kelp Datasheet Site1'!$H$16:$H$35)</f>
        <v>6.4379732835730223</v>
      </c>
      <c r="D14" s="132">
        <f>_xlfn.STDEV.P('2020 Bull Kelp Datasheet Site1'!$C$16:$C$35,'2020 Bull Kelp Datasheet Site1'!$H$16:$H$35)</f>
        <v>4.8010415536631212</v>
      </c>
      <c r="E14" s="132">
        <f>_xlfn.STDEV.P('2021 Bull Kelp Datasheet Site1'!$C$16:$C$35,'2021 Bull Kelp Datasheet Site1'!$H$16:$H$35)</f>
        <v>7.9651608258872288</v>
      </c>
      <c r="F14" s="132">
        <f>_xlfn.STDEV.P('2022 Bull Kelp Datasheet Site1'!$C$15:$C$34,'2022 Bull Kelp Datasheet Site1'!$H$15:$H$34)</f>
        <v>7.4611419402967023</v>
      </c>
      <c r="G14" s="65">
        <f ca="1">_xlfn.STDEV.P('2023 Bull Kelp Datasheet Site1'!$C$15:$C$34,'2023 Bull Kelp Datasheet Site1'!$H$15:$H$34)</f>
        <v>8.1061741389879867</v>
      </c>
      <c r="H14" s="136">
        <f>_xlfn.STDEV.P('2024 Bull Kelp Datasheet Site1'!$C$15:$C$34,'2024 Bull Kelp Datasheet Site1'!$H$15:$H$34)</f>
        <v>6.7608684767974623</v>
      </c>
    </row>
    <row r="15" spans="1:8" x14ac:dyDescent="0.35">
      <c r="B15" s="41" t="s">
        <v>167</v>
      </c>
      <c r="C15" s="73">
        <f ca="1">COUNT('2019 Bull Kelp Datasheet Site1'!$C$16:$C$35,'2019 Bull Kelp Datasheet Site1'!$H$16:$H$35)</f>
        <v>40</v>
      </c>
      <c r="D15" s="73">
        <f>COUNT('2020 Bull Kelp Datasheet Site1'!$C$16:$C$35,'2020 Bull Kelp Datasheet Site1'!$H$16:$H$35)</f>
        <v>10</v>
      </c>
      <c r="E15" s="73">
        <f>COUNT('2021 Bull Kelp Datasheet Site1'!$C$16:$C$35,'2021 Bull Kelp Datasheet Site1'!$H$16:$H$35)</f>
        <v>26</v>
      </c>
      <c r="F15" s="73">
        <f>COUNT('2022 Bull Kelp Datasheet Site1'!C16:C35,'2022 Bull Kelp Datasheet Site1'!H16:H35)</f>
        <v>13</v>
      </c>
      <c r="G15" s="133">
        <f ca="1">COUNT('2023 Bull Kelp Datasheet Site1'!C16:C35,'2023 Bull Kelp Datasheet Site1'!H16:H35)</f>
        <v>27</v>
      </c>
      <c r="H15" s="35">
        <f>COUNT('2024 Bull Kelp Datasheet Site1'!C16:C35,'2024 Bull Kelp Datasheet Site1'!H16:H35)</f>
        <v>17</v>
      </c>
    </row>
    <row r="16" spans="1:8" x14ac:dyDescent="0.35">
      <c r="B16" s="36"/>
      <c r="C16" s="82"/>
      <c r="D16" s="82"/>
      <c r="E16" s="82"/>
      <c r="F16" s="82"/>
    </row>
    <row r="17" spans="1:8" ht="18.5" x14ac:dyDescent="0.45">
      <c r="A17" s="83" t="s">
        <v>168</v>
      </c>
      <c r="B17" s="55" t="s">
        <v>68</v>
      </c>
      <c r="C17" s="229" t="s">
        <v>169</v>
      </c>
      <c r="D17" s="229"/>
      <c r="E17" s="229"/>
      <c r="F17" s="229"/>
      <c r="G17" s="229"/>
      <c r="H17" s="230"/>
    </row>
    <row r="18" spans="1:8" x14ac:dyDescent="0.35">
      <c r="B18" s="42" t="s">
        <v>141</v>
      </c>
      <c r="C18" s="137" t="str">
        <f t="shared" ref="C18:H18" ca="1" si="1">_xlfn.CONCAT(C6, " ", "(n = ", C15,")")</f>
        <v>2019 (n = 40)</v>
      </c>
      <c r="D18" s="137" t="str">
        <f t="shared" si="1"/>
        <v>2020 (n = 10)</v>
      </c>
      <c r="E18" s="137" t="str">
        <f t="shared" si="1"/>
        <v>2021 (n = 26)</v>
      </c>
      <c r="F18" s="137" t="str">
        <f t="shared" si="1"/>
        <v>2022 (n = 13)</v>
      </c>
      <c r="G18" s="36" t="str">
        <f t="shared" ca="1" si="1"/>
        <v>2023 (n = 27)</v>
      </c>
      <c r="H18" s="138" t="str">
        <f t="shared" si="1"/>
        <v>2024 (n = 17)</v>
      </c>
    </row>
    <row r="19" spans="1:8" x14ac:dyDescent="0.35">
      <c r="B19" s="55" t="s">
        <v>60</v>
      </c>
      <c r="C19" s="108">
        <f>'2019 Bull Kelp Datasheet Site1'!C38</f>
        <v>32.222222222222221</v>
      </c>
      <c r="D19" s="108">
        <f>'2020 Bull Kelp Datasheet Site1'!C38</f>
        <v>18.5</v>
      </c>
      <c r="E19" s="108">
        <f>'2021 Bull Kelp Datasheet Site1'!C38</f>
        <v>34.42307692307692</v>
      </c>
      <c r="F19" s="108">
        <f>'2022 Bull Kelp Datasheet Site1'!C38</f>
        <v>83.84615384615384</v>
      </c>
      <c r="G19" s="134">
        <f>'2022 Bull Kelp Datasheet Site1'!C38</f>
        <v>83.84615384615384</v>
      </c>
      <c r="H19" s="135">
        <f>'2022 Bull Kelp Datasheet Site1'!C38</f>
        <v>83.84615384615384</v>
      </c>
    </row>
    <row r="20" spans="1:8" x14ac:dyDescent="0.35">
      <c r="B20" s="42" t="s">
        <v>166</v>
      </c>
      <c r="C20" s="132" cm="1">
        <f t="array" ref="C20">BryozoansSD('2019 Bull Kelp Datasheet Site1'!B16:B35,'2019 Bull Kelp Datasheet Site1'!G16:G35)</f>
        <v>28.830068322953604</v>
      </c>
      <c r="D20" s="132" cm="1">
        <f t="array" ref="D20">BryozoansSD('2020 Bull Kelp Datasheet Site1'!B16:B35,'2020 Bull Kelp Datasheet Site1'!G16:G35)</f>
        <v>15.049916943292411</v>
      </c>
      <c r="E20" s="132" cm="1">
        <f t="array" ref="E20">BryozoansSD('2021 Bull Kelp Datasheet Site1'!B16:B35,'2021 Bull Kelp Datasheet Site1'!G16:G35)</f>
        <v>28.013627284046372</v>
      </c>
      <c r="F20" s="132" cm="1">
        <f t="array" ref="F20">BryozoansSD('2022 Bull Kelp Datasheet Site1'!B16:B35,'2022 Bull Kelp Datasheet Site1'!G16:G35)</f>
        <v>12.113858267710478</v>
      </c>
      <c r="G20" s="65" cm="1">
        <f t="array" ref="G20">BryozoansSD('2023 Bull Kelp Datasheet Site1'!B16:B35,'2023 Bull Kelp Datasheet Site1'!G16:G35)</f>
        <v>35.712182795231094</v>
      </c>
      <c r="H20" s="136" cm="1">
        <f t="array" ref="H20">BryozoansSD('2024 Bull Kelp Datasheet Site1'!B16:B35,'2024 Bull Kelp Datasheet Site1'!G16:G35)</f>
        <v>28.355873387281786</v>
      </c>
    </row>
    <row r="21" spans="1:8" x14ac:dyDescent="0.35">
      <c r="B21" s="41" t="s">
        <v>167</v>
      </c>
      <c r="C21" s="73">
        <f>COUNT('2019 Bull Kelp Datasheet Site1'!B16:B35,'2019 Bull Kelp Datasheet Site1'!G16:G35)</f>
        <v>40</v>
      </c>
      <c r="D21" s="73">
        <f>COUNT('2020 Bull Kelp Datasheet Site1'!B16:B35,'2020 Bull Kelp Datasheet Site1'!G16:G35)</f>
        <v>10</v>
      </c>
      <c r="E21" s="73">
        <f>COUNT('2021 Bull Kelp Datasheet Site1'!B16:B35,'2021 Bull Kelp Datasheet Site1'!G16:G35)</f>
        <v>26</v>
      </c>
      <c r="F21" s="73">
        <f>COUNT('2022 Bull Kelp Datasheet Site1'!B16:B35,'2022 Bull Kelp Datasheet Site1'!G16:G35)</f>
        <v>13</v>
      </c>
      <c r="G21" s="133">
        <f>COUNT('2023 Bull Kelp Datasheet Site1'!B16:B35,'2023 Bull Kelp Datasheet Site1'!G16:G35)</f>
        <v>27</v>
      </c>
      <c r="H21" s="35">
        <f>COUNT('2024 Bull Kelp Datasheet Site1'!B16:B35,'2024 Bull Kelp Datasheet Site1'!G16:G35)</f>
        <v>17</v>
      </c>
    </row>
    <row r="23" spans="1:8" ht="203.25" customHeight="1" x14ac:dyDescent="0.35">
      <c r="B23" s="223" t="s">
        <v>170</v>
      </c>
      <c r="C23" s="224"/>
      <c r="D23" s="224"/>
      <c r="E23" s="225"/>
      <c r="F23" s="67"/>
      <c r="G23" s="67"/>
    </row>
    <row r="24" spans="1:8" ht="81" customHeight="1" x14ac:dyDescent="0.35">
      <c r="B24" s="223" t="s">
        <v>171</v>
      </c>
      <c r="C24" s="224"/>
      <c r="D24" s="224"/>
      <c r="E24" s="225"/>
      <c r="F24" s="67"/>
      <c r="G24" s="67"/>
    </row>
    <row r="25" spans="1:8" ht="72" customHeight="1" x14ac:dyDescent="0.35">
      <c r="B25" s="226" t="s">
        <v>172</v>
      </c>
      <c r="C25" s="227"/>
      <c r="D25" s="227"/>
      <c r="E25" s="228"/>
    </row>
    <row r="27" spans="1:8" ht="16" x14ac:dyDescent="0.4">
      <c r="B27" s="74"/>
    </row>
    <row r="28" spans="1:8" ht="16" x14ac:dyDescent="0.4">
      <c r="B28" s="75"/>
    </row>
    <row r="44" spans="2:2" x14ac:dyDescent="0.35">
      <c r="B44" s="36"/>
    </row>
    <row r="86" spans="2:6" x14ac:dyDescent="0.35">
      <c r="B86" s="65"/>
      <c r="C86" s="65"/>
      <c r="D86" s="65"/>
      <c r="E86" s="65"/>
      <c r="F86" s="65"/>
    </row>
    <row r="87" spans="2:6" x14ac:dyDescent="0.35">
      <c r="B87" s="65"/>
      <c r="C87" s="65"/>
      <c r="D87" s="65"/>
      <c r="E87" s="65"/>
      <c r="F87" s="65"/>
    </row>
  </sheetData>
  <mergeCells count="6">
    <mergeCell ref="B23:E23"/>
    <mergeCell ref="B24:E24"/>
    <mergeCell ref="B25:E25"/>
    <mergeCell ref="C5:H5"/>
    <mergeCell ref="C11:H11"/>
    <mergeCell ref="C17:H17"/>
  </mergeCells>
  <conditionalFormatting sqref="C9:F9">
    <cfRule type="colorScale" priority="4">
      <colorScale>
        <cfvo type="min"/>
        <cfvo type="percentile" val="50"/>
        <cfvo type="max"/>
        <color rgb="FFF8696B"/>
        <color rgb="FFFFEB84"/>
        <color rgb="FF63BE7B"/>
      </colorScale>
    </cfRule>
  </conditionalFormatting>
  <conditionalFormatting sqref="C15:F16 C18:F18">
    <cfRule type="colorScale" priority="5">
      <colorScale>
        <cfvo type="min"/>
        <cfvo type="percentile" val="50"/>
        <cfvo type="max"/>
        <color rgb="FFF8696B"/>
        <color rgb="FFFFEB84"/>
        <color rgb="FF63BE7B"/>
      </colorScale>
    </cfRule>
  </conditionalFormatting>
  <conditionalFormatting sqref="C21:F21">
    <cfRule type="colorScale" priority="3">
      <colorScale>
        <cfvo type="min"/>
        <cfvo type="percentile" val="50"/>
        <cfvo type="max"/>
        <color rgb="FFF8696B"/>
        <color rgb="FFFFEB84"/>
        <color rgb="FF63BE7B"/>
      </colorScale>
    </cfRule>
  </conditionalFormatting>
  <conditionalFormatting sqref="C21:F21 C15:F15">
    <cfRule type="colorScale" priority="1">
      <colorScale>
        <cfvo type="min"/>
        <cfvo type="percentile" val="50"/>
        <cfvo type="max"/>
        <color rgb="FFF8696B"/>
        <color rgb="FFFFEB84"/>
        <color rgb="FF63BE7B"/>
      </colorScale>
    </cfRule>
    <cfRule type="colorScale" priority="2">
      <colorScale>
        <cfvo type="min"/>
        <cfvo type="max"/>
        <color rgb="FF63BE7B"/>
        <color rgb="FFFCFCFF"/>
      </colorScale>
    </cfRule>
  </conditionalFormatting>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0A968-ABD3-42B1-ACFE-79C780C942E4}">
  <sheetPr codeName="Sheet32">
    <tabColor rgb="FF00B0F0"/>
  </sheetPr>
  <dimension ref="A4:H87"/>
  <sheetViews>
    <sheetView topLeftCell="A4" zoomScale="70" zoomScaleNormal="70" workbookViewId="0">
      <selection activeCell="H19" sqref="H19"/>
    </sheetView>
  </sheetViews>
  <sheetFormatPr defaultColWidth="9.1796875" defaultRowHeight="14.5" x14ac:dyDescent="0.35"/>
  <cols>
    <col min="1" max="1" width="9.1796875" style="31"/>
    <col min="2" max="2" width="18.1796875" style="31" bestFit="1" customWidth="1"/>
    <col min="3" max="6" width="11.81640625" style="31" bestFit="1" customWidth="1"/>
    <col min="7" max="8" width="12.1796875" style="31" customWidth="1"/>
    <col min="9" max="16384" width="9.1796875" style="31"/>
  </cols>
  <sheetData>
    <row r="4" spans="1:8" ht="16" x14ac:dyDescent="0.4">
      <c r="A4" s="38"/>
    </row>
    <row r="5" spans="1:8" ht="21" x14ac:dyDescent="0.45">
      <c r="A5" s="45" t="s">
        <v>162</v>
      </c>
      <c r="B5" s="55" t="str">
        <f>'2020 Bull Kelp Datasheet Site1'!C2</f>
        <v>Site 1</v>
      </c>
      <c r="C5" s="229" t="s">
        <v>163</v>
      </c>
      <c r="D5" s="229"/>
      <c r="E5" s="229"/>
      <c r="F5" s="229"/>
      <c r="G5" s="229"/>
      <c r="H5" s="230"/>
    </row>
    <row r="6" spans="1:8" ht="16" x14ac:dyDescent="0.4">
      <c r="A6" s="45"/>
      <c r="B6" s="42" t="s">
        <v>141</v>
      </c>
      <c r="C6" s="101">
        <f>'2019 Bull Kelp Datasheet Site2'!C4</f>
        <v>2019</v>
      </c>
      <c r="D6" s="101">
        <f>'2020 Bull Kelp Datasheet Site2'!C4</f>
        <v>2020</v>
      </c>
      <c r="E6" s="101">
        <f>'2021 Bull Kelp Datasheet Site2'!C4</f>
        <v>2021</v>
      </c>
      <c r="F6" s="101">
        <f>'2022 Bull Kelp Datasheet Site2'!C4</f>
        <v>2022</v>
      </c>
      <c r="G6" s="101">
        <f>'2023 Bull Kelp Datasheet Site2'!C4</f>
        <v>2023</v>
      </c>
      <c r="H6" s="129">
        <f>'2024 Bull Kelp Datasheet Site2'!C4</f>
        <v>2024</v>
      </c>
    </row>
    <row r="7" spans="1:8" ht="16" x14ac:dyDescent="0.4">
      <c r="A7" s="45"/>
      <c r="B7" s="64"/>
      <c r="C7" s="84">
        <f>'2019 Bull Kelp Datasheet Site2'!C36</f>
        <v>700</v>
      </c>
      <c r="D7" s="84">
        <f>'2020 Bull Kelp Datasheet Site2'!C36</f>
        <v>900</v>
      </c>
      <c r="E7" s="84">
        <f>'2021 Bull Kelp Datasheet Site2'!C36</f>
        <v>900</v>
      </c>
      <c r="F7" s="84">
        <f>'2022 Bull Kelp Datasheet Site2'!C36</f>
        <v>900</v>
      </c>
      <c r="G7" s="130">
        <f>'2023 Bull Kelp Datasheet Site2'!C36</f>
        <v>750</v>
      </c>
      <c r="H7" s="131">
        <f>'2024 Bull Kelp Datasheet Site2'!C36</f>
        <v>900</v>
      </c>
    </row>
    <row r="8" spans="1:8" ht="16" x14ac:dyDescent="0.4">
      <c r="A8" s="45"/>
      <c r="B8" s="36"/>
      <c r="C8" s="65"/>
      <c r="D8" s="65"/>
      <c r="E8" s="65"/>
      <c r="F8" s="65"/>
    </row>
    <row r="9" spans="1:8" ht="16" x14ac:dyDescent="0.4">
      <c r="A9" s="45"/>
      <c r="B9" s="36"/>
    </row>
    <row r="10" spans="1:8" ht="16" x14ac:dyDescent="0.4">
      <c r="A10" s="45"/>
    </row>
    <row r="11" spans="1:8" ht="21" x14ac:dyDescent="0.45">
      <c r="A11" s="45" t="s">
        <v>164</v>
      </c>
      <c r="B11" s="55" t="str">
        <f>'2020 Bull Kelp Datasheet Site1'!C2</f>
        <v>Site 1</v>
      </c>
      <c r="C11" s="229" t="s">
        <v>165</v>
      </c>
      <c r="D11" s="229"/>
      <c r="E11" s="229"/>
      <c r="F11" s="229"/>
      <c r="G11" s="229"/>
      <c r="H11" s="230"/>
    </row>
    <row r="12" spans="1:8" ht="16" x14ac:dyDescent="0.4">
      <c r="A12" s="38"/>
      <c r="B12" s="42" t="s">
        <v>141</v>
      </c>
      <c r="C12" s="101" t="str">
        <f t="shared" ref="C12:H12" si="0">_xlfn.CONCAT(C6, " ", "(n = ", C15,")")</f>
        <v>2019 (n = 26)</v>
      </c>
      <c r="D12" s="101" t="str">
        <f t="shared" si="0"/>
        <v>2020 (n = 13)</v>
      </c>
      <c r="E12" s="101" t="str">
        <f t="shared" si="0"/>
        <v>2021 (n = 13)</v>
      </c>
      <c r="F12" s="101" t="str">
        <f t="shared" si="0"/>
        <v>2022 (n = 13)</v>
      </c>
      <c r="G12" s="101" t="str">
        <f t="shared" ca="1" si="0"/>
        <v>2023 (n = 20)</v>
      </c>
      <c r="H12" s="129" t="str">
        <f t="shared" si="0"/>
        <v>2024 (n = 13)</v>
      </c>
    </row>
    <row r="13" spans="1:8" x14ac:dyDescent="0.35">
      <c r="B13" s="55" t="s">
        <v>60</v>
      </c>
      <c r="C13" s="108">
        <f>AVERAGE('2019 Bull Kelp Datasheet Site2'!$C$16:$C$35,'2019 Bull Kelp Datasheet Site2'!$H$16:$H$35)</f>
        <v>9.615384615384615</v>
      </c>
      <c r="D13" s="108">
        <f>AVERAGE('2020 Bull Kelp Datasheet Site2'!$C$16:$C$35,'2020 Bull Kelp Datasheet Site2'!$H$16:$H$35)</f>
        <v>17.846153846153847</v>
      </c>
      <c r="E13" s="108">
        <f>AVERAGE('2021 Bull Kelp Datasheet Site2'!$C$16:$C$35,'2021 Bull Kelp Datasheet Site2'!$H$16:$H$35)</f>
        <v>17.846153846153847</v>
      </c>
      <c r="F13" s="108">
        <f>AVERAGE('2022 Bull Kelp Datasheet Site2'!$C$15:$C$34,'2022 Bull Kelp Datasheet Site2'!$H$15:$H$34)</f>
        <v>17.846153846153847</v>
      </c>
      <c r="G13" s="134">
        <f ca="1">AVERAGE('2023 Bull Kelp Datasheet Site2'!$C$15:$C$34,'2023 Bull Kelp Datasheet Site2'!$H$15:$H$34)</f>
        <v>13.947368421052632</v>
      </c>
      <c r="H13" s="135">
        <f>AVERAGE('2024 Bull Kelp Datasheet Site2'!$C$15:$C$34,'2024 Bull Kelp Datasheet Site2'!$H$15:$H$34)</f>
        <v>17.846153846153847</v>
      </c>
    </row>
    <row r="14" spans="1:8" x14ac:dyDescent="0.35">
      <c r="B14" s="42" t="s">
        <v>166</v>
      </c>
      <c r="C14" s="132">
        <f>_xlfn.STDEV.P('2019 Bull Kelp Datasheet Site2'!$C$16:$C$35,'2019 Bull Kelp Datasheet Site2'!$H$16:$H$35)</f>
        <v>4.0674781742776265</v>
      </c>
      <c r="D14" s="132">
        <f>_xlfn.STDEV.P('2020 Bull Kelp Datasheet Site2'!$C$16:$C$35,'2020 Bull Kelp Datasheet Site2'!$H$16:$H$35)</f>
        <v>7.4611419402967023</v>
      </c>
      <c r="E14" s="132">
        <f>_xlfn.STDEV.P('2021 Bull Kelp Datasheet Site2'!$C$16:$C$35,'2021 Bull Kelp Datasheet Site2'!$H$16:$H$35)</f>
        <v>7.4611419402967023</v>
      </c>
      <c r="F14" s="132">
        <f>_xlfn.STDEV.P('2022 Bull Kelp Datasheet Site2'!$C$15:$C$34,'2022 Bull Kelp Datasheet Site2'!$H$15:$H$34)</f>
        <v>7.4611419402967023</v>
      </c>
      <c r="G14" s="65">
        <f ca="1">_xlfn.STDEV.P('2023 Bull Kelp Datasheet Site2'!$C$15:$C$34,'2023 Bull Kelp Datasheet Site2'!$H$15:$H$34)</f>
        <v>8.5561531211571342</v>
      </c>
      <c r="H14" s="136">
        <f>_xlfn.STDEV.P('2024 Bull Kelp Datasheet Site2'!$C$15:$C$34,'2024 Bull Kelp Datasheet Site2'!$H$15:$H$34)</f>
        <v>7.4611419402967023</v>
      </c>
    </row>
    <row r="15" spans="1:8" x14ac:dyDescent="0.35">
      <c r="B15" s="41" t="s">
        <v>167</v>
      </c>
      <c r="C15" s="73">
        <f>COUNT('2019 Bull Kelp Datasheet Site2'!$C$16:$C$35,'2019 Bull Kelp Datasheet Site2'!$H$16:$H$35)</f>
        <v>26</v>
      </c>
      <c r="D15" s="73">
        <f>COUNT('2020 Bull Kelp Datasheet Site2'!$C$16:$C$35,'2020 Bull Kelp Datasheet Site2'!$H$16:$H$35)</f>
        <v>13</v>
      </c>
      <c r="E15" s="73">
        <f>COUNT('2021 Bull Kelp Datasheet Site2'!$C$16:$C$35,'2021 Bull Kelp Datasheet Site2'!$H$16:$H$35)</f>
        <v>13</v>
      </c>
      <c r="F15" s="73">
        <f>COUNT('2022 Bull Kelp Datasheet Site2'!C16:C35,'2022 Bull Kelp Datasheet Site2'!H16:H35)</f>
        <v>13</v>
      </c>
      <c r="G15" s="133">
        <f ca="1">COUNT('2023 Bull Kelp Datasheet Site2'!C16:C35,'2023 Bull Kelp Datasheet Site2'!H16:H35)</f>
        <v>20</v>
      </c>
      <c r="H15" s="35">
        <f>COUNT('2024 Bull Kelp Datasheet Site2'!C16:C35,'2024 Bull Kelp Datasheet Site2'!H16:H35)</f>
        <v>13</v>
      </c>
    </row>
    <row r="16" spans="1:8" x14ac:dyDescent="0.35">
      <c r="B16" s="36"/>
      <c r="C16" s="82"/>
      <c r="D16" s="82"/>
      <c r="E16" s="82"/>
      <c r="F16" s="82"/>
    </row>
    <row r="17" spans="1:8" ht="18.5" x14ac:dyDescent="0.45">
      <c r="A17" s="83" t="s">
        <v>168</v>
      </c>
      <c r="B17" s="55" t="s">
        <v>68</v>
      </c>
      <c r="C17" s="229" t="s">
        <v>169</v>
      </c>
      <c r="D17" s="229"/>
      <c r="E17" s="229"/>
      <c r="F17" s="229"/>
      <c r="G17" s="229"/>
      <c r="H17" s="230"/>
    </row>
    <row r="18" spans="1:8" x14ac:dyDescent="0.35">
      <c r="B18" s="42" t="s">
        <v>141</v>
      </c>
      <c r="C18" s="137" t="str">
        <f t="shared" ref="C18:H18" si="1">_xlfn.CONCAT(C6, " ", "(n = ", C15,")")</f>
        <v>2019 (n = 26)</v>
      </c>
      <c r="D18" s="137" t="str">
        <f t="shared" si="1"/>
        <v>2020 (n = 13)</v>
      </c>
      <c r="E18" s="137" t="str">
        <f t="shared" si="1"/>
        <v>2021 (n = 13)</v>
      </c>
      <c r="F18" s="137" t="str">
        <f t="shared" si="1"/>
        <v>2022 (n = 13)</v>
      </c>
      <c r="G18" s="36" t="str">
        <f t="shared" ca="1" si="1"/>
        <v>2023 (n = 20)</v>
      </c>
      <c r="H18" s="138" t="str">
        <f t="shared" si="1"/>
        <v>2024 (n = 13)</v>
      </c>
    </row>
    <row r="19" spans="1:8" x14ac:dyDescent="0.35">
      <c r="B19" s="55" t="s">
        <v>60</v>
      </c>
      <c r="C19" s="108">
        <f>'2019 Bull Kelp Datasheet Site2'!C38</f>
        <v>34.42307692307692</v>
      </c>
      <c r="D19" s="108">
        <f>'2020 Bull Kelp Datasheet Site2'!C38</f>
        <v>83.84615384615384</v>
      </c>
      <c r="E19" s="108">
        <f>'2021 Bull Kelp Datasheet Site2'!C38</f>
        <v>83.84615384615384</v>
      </c>
      <c r="F19" s="108">
        <f>'2022 Bull Kelp Datasheet Site2'!C38</f>
        <v>83.84615384615384</v>
      </c>
      <c r="G19" s="134">
        <f>'2022 Bull Kelp Datasheet Site2'!C38</f>
        <v>83.84615384615384</v>
      </c>
      <c r="H19" s="135">
        <f>'2022 Bull Kelp Datasheet Site2'!C38</f>
        <v>83.84615384615384</v>
      </c>
    </row>
    <row r="20" spans="1:8" x14ac:dyDescent="0.35">
      <c r="B20" s="42" t="s">
        <v>166</v>
      </c>
      <c r="C20" s="132" cm="1">
        <f t="array" ref="C20">BryozoansSD('2019 Bull Kelp Datasheet Site2'!B16:B35,'2019 Bull Kelp Datasheet Site2'!G16:G35)</f>
        <v>28.013627284046372</v>
      </c>
      <c r="D20" s="132" cm="1">
        <f t="array" ref="D20">BryozoansSD('2020 Bull Kelp Datasheet Site2'!B16:B35,'2020 Bull Kelp Datasheet Site2'!G16:G35)</f>
        <v>12.113858267710478</v>
      </c>
      <c r="E20" s="132" cm="1">
        <f t="array" ref="E20">BryozoansSD('2021 Bull Kelp Datasheet Site2'!B16:B35,'2021 Bull Kelp Datasheet Site2'!G16:G35)</f>
        <v>12.113858267710478</v>
      </c>
      <c r="F20" s="132" cm="1">
        <f t="array" ref="F20">BryozoansSD('2022 Bull Kelp Datasheet Site2'!B16:B35,'2022 Bull Kelp Datasheet Site2'!G16:G35)</f>
        <v>12.113858267710478</v>
      </c>
      <c r="G20" s="65" cm="1">
        <f t="array" ref="G20">BryozoansSD('2023 Bull Kelp Datasheet Site2'!B16:B35,'2023 Bull Kelp Datasheet Site2'!G16:G35)</f>
        <v>33.279850907933671</v>
      </c>
      <c r="H20" s="136" cm="1">
        <f t="array" ref="H20">BryozoansSD('2024 Bull Kelp Datasheet Site2'!B16:B35,'2024 Bull Kelp Datasheet Site2'!G16:G35)</f>
        <v>12.113858267710478</v>
      </c>
    </row>
    <row r="21" spans="1:8" x14ac:dyDescent="0.35">
      <c r="B21" s="41" t="s">
        <v>167</v>
      </c>
      <c r="C21" s="73">
        <f>COUNT('2019 Bull Kelp Datasheet Site2'!B16:B35,'2019 Bull Kelp Datasheet Site2'!G16:G35)</f>
        <v>26</v>
      </c>
      <c r="D21" s="73">
        <f>COUNT('2020 Bull Kelp Datasheet Site2'!B16:B35,'2020 Bull Kelp Datasheet Site2'!G16:G35)</f>
        <v>13</v>
      </c>
      <c r="E21" s="73">
        <f>COUNT('2021 Bull Kelp Datasheet Site2'!B16:B35,'2021 Bull Kelp Datasheet Site2'!G16:G35)</f>
        <v>13</v>
      </c>
      <c r="F21" s="73">
        <f>COUNT('2022 Bull Kelp Datasheet Site2'!B16:B35,'2022 Bull Kelp Datasheet Site2'!G16:G35)</f>
        <v>13</v>
      </c>
      <c r="G21" s="133">
        <f>COUNT('2023 Bull Kelp Datasheet Site2'!B16:B35,'2023 Bull Kelp Datasheet Site2'!G16:G35)</f>
        <v>20</v>
      </c>
      <c r="H21" s="35">
        <f>COUNT('2024 Bull Kelp Datasheet Site2'!B16:B35,'2024 Bull Kelp Datasheet Site2'!G16:G35)</f>
        <v>13</v>
      </c>
    </row>
    <row r="23" spans="1:8" ht="203.25" customHeight="1" x14ac:dyDescent="0.35">
      <c r="B23" s="223" t="s">
        <v>170</v>
      </c>
      <c r="C23" s="224"/>
      <c r="D23" s="224"/>
      <c r="E23" s="225"/>
      <c r="F23" s="67"/>
      <c r="G23" s="67"/>
    </row>
    <row r="24" spans="1:8" ht="81" customHeight="1" x14ac:dyDescent="0.35">
      <c r="B24" s="223" t="s">
        <v>171</v>
      </c>
      <c r="C24" s="224"/>
      <c r="D24" s="224"/>
      <c r="E24" s="225"/>
      <c r="F24" s="67"/>
      <c r="G24" s="67"/>
    </row>
    <row r="25" spans="1:8" ht="72" customHeight="1" x14ac:dyDescent="0.35">
      <c r="B25" s="226" t="s">
        <v>172</v>
      </c>
      <c r="C25" s="227"/>
      <c r="D25" s="227"/>
      <c r="E25" s="228"/>
    </row>
    <row r="27" spans="1:8" ht="16" x14ac:dyDescent="0.4">
      <c r="B27" s="74"/>
    </row>
    <row r="28" spans="1:8" ht="16" x14ac:dyDescent="0.4">
      <c r="B28" s="75"/>
    </row>
    <row r="44" spans="2:2" x14ac:dyDescent="0.35">
      <c r="B44" s="36"/>
    </row>
    <row r="86" spans="2:6" x14ac:dyDescent="0.35">
      <c r="B86" s="65"/>
      <c r="C86" s="65"/>
      <c r="D86" s="65"/>
      <c r="E86" s="65"/>
      <c r="F86" s="65"/>
    </row>
    <row r="87" spans="2:6" x14ac:dyDescent="0.35">
      <c r="B87" s="65"/>
      <c r="C87" s="65"/>
      <c r="D87" s="65"/>
      <c r="E87" s="65"/>
      <c r="F87" s="65"/>
    </row>
  </sheetData>
  <mergeCells count="6">
    <mergeCell ref="B25:E25"/>
    <mergeCell ref="C5:H5"/>
    <mergeCell ref="C11:H11"/>
    <mergeCell ref="C17:H17"/>
    <mergeCell ref="B23:E23"/>
    <mergeCell ref="B24:E24"/>
  </mergeCells>
  <conditionalFormatting sqref="C9:F9">
    <cfRule type="colorScale" priority="4">
      <colorScale>
        <cfvo type="min"/>
        <cfvo type="percentile" val="50"/>
        <cfvo type="max"/>
        <color rgb="FFF8696B"/>
        <color rgb="FFFFEB84"/>
        <color rgb="FF63BE7B"/>
      </colorScale>
    </cfRule>
  </conditionalFormatting>
  <conditionalFormatting sqref="C15:F16 C18:F18">
    <cfRule type="colorScale" priority="5">
      <colorScale>
        <cfvo type="min"/>
        <cfvo type="percentile" val="50"/>
        <cfvo type="max"/>
        <color rgb="FFF8696B"/>
        <color rgb="FFFFEB84"/>
        <color rgb="FF63BE7B"/>
      </colorScale>
    </cfRule>
  </conditionalFormatting>
  <conditionalFormatting sqref="C21:F21">
    <cfRule type="colorScale" priority="3">
      <colorScale>
        <cfvo type="min"/>
        <cfvo type="percentile" val="50"/>
        <cfvo type="max"/>
        <color rgb="FFF8696B"/>
        <color rgb="FFFFEB84"/>
        <color rgb="FF63BE7B"/>
      </colorScale>
    </cfRule>
  </conditionalFormatting>
  <conditionalFormatting sqref="C21:F21 C15:F15">
    <cfRule type="colorScale" priority="1">
      <colorScale>
        <cfvo type="min"/>
        <cfvo type="percentile" val="50"/>
        <cfvo type="max"/>
        <color rgb="FFF8696B"/>
        <color rgb="FFFFEB84"/>
        <color rgb="FF63BE7B"/>
      </colorScale>
    </cfRule>
    <cfRule type="colorScale" priority="2">
      <colorScale>
        <cfvo type="min"/>
        <cfvo type="max"/>
        <color rgb="FF63BE7B"/>
        <color rgb="FFFCFCFF"/>
      </colorScale>
    </cfRule>
  </conditionalFormatting>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AE1F5549E60B14088FCEF3CE974A0D6" ma:contentTypeVersion="4" ma:contentTypeDescription="Create a new document." ma:contentTypeScope="" ma:versionID="e4cd037b9886b369f363dd3dc8c023c9">
  <xsd:schema xmlns:xsd="http://www.w3.org/2001/XMLSchema" xmlns:xs="http://www.w3.org/2001/XMLSchema" xmlns:p="http://schemas.microsoft.com/office/2006/metadata/properties" xmlns:ns2="e2939bea-6cd2-4263-a592-d90459dbd944" targetNamespace="http://schemas.microsoft.com/office/2006/metadata/properties" ma:root="true" ma:fieldsID="f4ea6db7b01513ad87450e2cf6aee356" ns2:_="">
    <xsd:import namespace="e2939bea-6cd2-4263-a592-d90459dbd94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2939bea-6cd2-4263-a592-d90459dbd94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D7E8FC3-6F7F-4613-9E9B-73B00110E569}">
  <ds:schemaRefs>
    <ds:schemaRef ds:uri="http://schemas.microsoft.com/sharepoint/v3/contenttype/forms"/>
  </ds:schemaRefs>
</ds:datastoreItem>
</file>

<file path=customXml/itemProps2.xml><?xml version="1.0" encoding="utf-8"?>
<ds:datastoreItem xmlns:ds="http://schemas.openxmlformats.org/officeDocument/2006/customXml" ds:itemID="{F42D6BA7-FABE-465D-BD56-FE92D60DC022}">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803A4990-2EB2-4511-962F-B1F782A8910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2939bea-6cd2-4263-a592-d90459dbd94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1</vt:i4>
      </vt:variant>
    </vt:vector>
  </HeadingPairs>
  <TitlesOfParts>
    <vt:vector size="29" baseType="lpstr">
      <vt:lpstr>INSTRUCTIONS</vt:lpstr>
      <vt:lpstr>NOTES</vt:lpstr>
      <vt:lpstr>2019 Bull Kelp Datasheet Site1</vt:lpstr>
      <vt:lpstr>2019 Bull Kelp Datasheet Site2</vt:lpstr>
      <vt:lpstr>2019 Bull Kelp Datasheet Site3</vt:lpstr>
      <vt:lpstr>2019 Bull Kelp Datasheet Site4</vt:lpstr>
      <vt:lpstr>2019 Bull Kelp Datasheet Site5</vt:lpstr>
      <vt:lpstr>2019 Bull Kelp Datasheet Site6</vt:lpstr>
      <vt:lpstr>2019 Bull Kelp Datasheet Site7</vt:lpstr>
      <vt:lpstr>2019 Bull Kelp Datasheet Site8</vt:lpstr>
      <vt:lpstr>2019 Bull Kelp Datasheet Site9</vt:lpstr>
      <vt:lpstr>2023 Bull Kelp Datasheet Site10</vt:lpstr>
      <vt:lpstr>2024 Bull Kelp Datasheet Site10</vt:lpstr>
      <vt:lpstr>2019 Bull Kelp Annual Report</vt:lpstr>
      <vt:lpstr>2020 Bull Kelp Datasheet Site1</vt:lpstr>
      <vt:lpstr>2020 Bull Kelp Datasheet Site4</vt:lpstr>
      <vt:lpstr>2021 Bull Kelp Datasheet Site1</vt:lpstr>
      <vt:lpstr>2022 Bull Kelp Datasheet Site1</vt:lpstr>
      <vt:lpstr>2023 Bull Kelp Datasheet Site3</vt:lpstr>
      <vt:lpstr>2023 Bull Kelp Datasheet Site1</vt:lpstr>
      <vt:lpstr>2024 Bull Kelp Datasheet Site1</vt:lpstr>
      <vt:lpstr>2020 Bull Kelp Datasheet Site2</vt:lpstr>
      <vt:lpstr>2021 Bull Kelp Datasheet Site2</vt:lpstr>
      <vt:lpstr>2022 Bull Kelp Datasheet Site2</vt:lpstr>
      <vt:lpstr>2023 Bull Kelp Datasheet Site2</vt:lpstr>
      <vt:lpstr>2024 Bull Kelp Datasheet Site2</vt:lpstr>
      <vt:lpstr>Site 1 Bull Kelp Summary</vt:lpstr>
      <vt:lpstr>Site 2 Bull Kelp Summary</vt:lpstr>
      <vt:lpstr>'2019 Bull Kelp Annual Report'!Print_Area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Halpin, Luke WLRS:EX</dc:creator>
  <cp:keywords/>
  <dc:description/>
  <cp:lastModifiedBy>Mairin Deith</cp:lastModifiedBy>
  <cp:revision/>
  <dcterms:created xsi:type="dcterms:W3CDTF">2024-05-08T21:14:13Z</dcterms:created>
  <dcterms:modified xsi:type="dcterms:W3CDTF">2025-06-16T19:40:41Z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0x0101000AE1F5549E60B14088FCEF3CE974A0D6</vt:lpwstr>
  </property>
</Properties>
</file>